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ransactions" sheetId="2" state="visible" r:id="rId2"/>
    <sheet name="Vendor Map" sheetId="3" state="visible" r:id="rId3"/>
    <sheet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($#,##0.0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7F7F"/>
      <sz val="10"/>
    </font>
    <font>
      <name val="Arial"/>
      <b val="1"/>
      <color rgb="00C00000"/>
      <sz val="10"/>
    </font>
    <font>
      <name val="Arial"/>
      <b val="1"/>
      <color rgb="001F3864"/>
      <sz val="16"/>
    </font>
    <font>
      <name val="Arial"/>
      <i val="1"/>
      <color rgb="00808080"/>
      <sz val="10"/>
    </font>
    <font>
      <name val="Arial"/>
      <i val="1"/>
      <sz val="10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9" fontId="0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166" fontId="0" fillId="0" borderId="0" pivotButton="0" quotePrefix="0" xfId="0"/>
    <xf numFmtId="166" fontId="8" fillId="0" borderId="0" pivotButton="0" quotePrefix="0" xfId="0"/>
    <xf numFmtId="166" fontId="0" fillId="3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GEAUX AI</author>
  </authors>
  <commentList>
    <comment ref="A1" authorId="0" shapeId="0">
      <text>
        <t>Permanent unique ID (UUID) the agent generates. Idempotency key sent to QuickBooks. NEVER edit or reuse.</t>
      </text>
    </comment>
    <comment ref="B1" authorId="0" shapeId="0">
      <text>
        <t>Transaction date from the source document.</t>
      </text>
    </comment>
    <comment ref="C1" authorId="0" shapeId="0">
      <text>
        <t>Who was paid / who paid you. Matched against the Vendor Map tab.</t>
      </text>
    </comment>
    <comment ref="D1" authorId="0" shapeId="0">
      <text>
        <t>Always POSITIVE. Direction comes from Type. Stored in dollars; the agent keeps cents internally.</t>
      </text>
    </comment>
    <comment ref="E1" authorId="0" shapeId="0">
      <text>
        <t>Expense, Deposit, or Transfer. Drives which QuickBooks entry is created.</t>
      </text>
    </comment>
    <comment ref="F1" authorId="0" shapeId="0">
      <text>
        <t>Exact QuickBooks chart-of-accounts / category name. Auto-suggested from Vendor Map; confirm on review.</t>
      </text>
    </comment>
    <comment ref="G1" authorId="0" shapeId="0">
      <text>
        <t>Optional. Only if your QuickBooks uses Classes/Locations.</t>
      </text>
    </comment>
    <comment ref="H1" authorId="0" shapeId="0">
      <text>
        <t>Short description / line memo.</t>
      </text>
    </comment>
    <comment ref="I1" authorId="0" shapeId="0">
      <text>
        <t>Drive link to the statement / invoice / check image this came from.</t>
      </text>
    </comment>
    <comment ref="J1" authorId="0" shapeId="0">
      <text>
        <t>SHA-256 of the source file. Used to reject re-uploads of the same document.</t>
      </text>
    </comment>
    <comment ref="K1" authorId="0" shapeId="0">
      <text>
        <t>Bank reference or check number, when available.</t>
      </text>
    </comment>
    <comment ref="L1" authorId="0" shapeId="0">
      <text>
        <t>Needs Review -&gt; Approved -&gt; Posted-QBO. NOTHING posts to QuickBooks until you set this to Approved.</t>
      </text>
    </comment>
    <comment ref="M1" authorId="0" shapeId="0">
      <text>
        <t>QuickBooks transaction ID written back AFTER posting. Proof of sync. Blank = not yet in QuickBooks.</t>
      </text>
    </comment>
    <comment ref="N1" authorId="0" shapeId="0">
      <text>
        <t>Agent's extraction confidence (0-100%). Below threshold is forced to Needs Review.</t>
      </text>
    </comment>
    <comment ref="O1" authorId="0" shapeId="0">
      <text>
        <t>agent or a person's name.</t>
      </text>
    </comment>
    <comment ref="P1" authorId="0" shapeId="0">
      <text>
        <t>When this row was created.</t>
      </text>
    </comment>
    <comment ref="Q1" authorId="0" shapeId="0">
      <text>
        <t>AUTO: flags DUP-HASH (same file) or DUP-MATCH (same date+amount+payee). Investigate before approving.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Bookkeeping Ledger — QuickBooks-ready</t>
        </is>
      </c>
    </row>
    <row r="2">
      <c r="A2" s="2" t="inlineStr">
        <is>
          <t>Built by the GEAUX AI team (finance seat: schema &amp; controls). Import this file into Google Sheets and connect the agent.</t>
        </is>
      </c>
    </row>
    <row r="4">
      <c r="A4" s="3" t="inlineStr">
        <is>
          <t>THE ONE RULE</t>
        </is>
      </c>
    </row>
    <row r="5">
      <c r="A5" s="4" t="inlineStr">
        <is>
          <t>Nothing posts to QuickBooks until a human sets Status = Approved. This single gate keeps bad reads out and stops double-posting.</t>
        </is>
      </c>
    </row>
    <row r="6">
      <c r="A6" s="4" t="inlineStr"/>
    </row>
    <row r="7">
      <c r="A7" s="3" t="inlineStr">
        <is>
          <t>WORKFLOW</t>
        </is>
      </c>
    </row>
    <row r="8">
      <c r="A8" s="4" t="inlineStr">
        <is>
          <t>1. Upload a bank statement, invoice, or check photo to the agent.</t>
        </is>
      </c>
    </row>
    <row r="9">
      <c r="A9" s="4" t="inlineStr">
        <is>
          <t>2. The agent extracts each transaction and adds a row with Status = Needs Review (blue columns).</t>
        </is>
      </c>
    </row>
    <row r="10">
      <c r="A10" s="4" t="inlineStr">
        <is>
          <t>3. You review: confirm the Account (yellow), fix anything wrong, and set Status = Approved. Check the Dup_Check column first.</t>
        </is>
      </c>
    </row>
    <row r="11">
      <c r="A11" s="4" t="inlineStr">
        <is>
          <t>4. The agent posts every Approved row to QuickBooks, writes back QBO_Txn_ID, and flips Status to Posted-QBO.</t>
        </is>
      </c>
    </row>
    <row r="12">
      <c r="A12" s="4" t="inlineStr">
        <is>
          <t>5. Weekly: open the Reconciliation tab and run the three-way tie-out.</t>
        </is>
      </c>
    </row>
    <row r="13">
      <c r="A13" s="4" t="inlineStr"/>
    </row>
    <row r="14">
      <c r="A14" s="3" t="inlineStr">
        <is>
          <t>COLOR KEY</t>
        </is>
      </c>
    </row>
    <row r="15">
      <c r="A15" s="4" t="inlineStr">
        <is>
          <t>Blue columns  = the agent fills these automatically.</t>
        </is>
      </c>
    </row>
    <row r="16">
      <c r="A16" s="4" t="inlineStr">
        <is>
          <t>Yellow columns = you fill / confirm these (Account, Status, and the bank/QuickBooks totals on Reconciliation).</t>
        </is>
      </c>
    </row>
    <row r="17">
      <c r="A17" s="4" t="inlineStr">
        <is>
          <t>Green column  = auto-calculated (Dup_Check). Do not edit.</t>
        </is>
      </c>
    </row>
    <row r="18">
      <c r="A18" s="4" t="inlineStr"/>
    </row>
    <row r="19">
      <c r="A19" s="3" t="inlineStr">
        <is>
          <t>TABS</t>
        </is>
      </c>
    </row>
    <row r="20">
      <c r="A20" s="4" t="inlineStr">
        <is>
          <t>Transactions  — the ledger. One row per transaction.</t>
        </is>
      </c>
    </row>
    <row r="21">
      <c r="A21" s="4" t="inlineStr">
        <is>
          <t>Vendor Map    — payee -&gt; QuickBooks account. The agent checks this to auto-fill categories.</t>
        </is>
      </c>
    </row>
    <row r="22">
      <c r="A22" s="4" t="inlineStr">
        <is>
          <t>Reconciliation — status counts + the weekly three-way tie-out (Sheets vs Bank vs QuickBooks).</t>
        </is>
      </c>
    </row>
    <row r="23">
      <c r="A23" s="4" t="inlineStr"/>
    </row>
    <row r="24">
      <c r="A24" s="3" t="inlineStr">
        <is>
          <t>NOTES</t>
        </is>
      </c>
    </row>
    <row r="25">
      <c r="A25" s="4" t="inlineStr">
        <is>
          <t>- Txn_ID is permanent and is the idempotency key sent to QuickBooks — never edit or reuse it.</t>
        </is>
      </c>
    </row>
    <row r="26">
      <c r="A26" s="4" t="inlineStr">
        <is>
          <t>- Amount is always positive; Type (Expense/Deposit/Transfer) sets the direction.</t>
        </is>
      </c>
    </row>
    <row r="27">
      <c r="A27" s="4" t="inlineStr">
        <is>
          <t>- Confidence below your threshold (suggested 90%) stays in Needs Review no matter what.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4" customWidth="1" min="7" max="7"/>
    <col width="30" customWidth="1" min="8" max="8"/>
    <col width="24" customWidth="1" min="9" max="9"/>
    <col width="24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14" customWidth="1" min="17" max="17"/>
  </cols>
  <sheetData>
    <row r="1" ht="30" customHeight="1">
      <c r="A1" s="5" t="inlineStr">
        <is>
          <t>Txn_ID</t>
        </is>
      </c>
      <c r="B1" s="5" t="inlineStr">
        <is>
          <t>Date</t>
        </is>
      </c>
      <c r="C1" s="5" t="inlineStr">
        <is>
          <t>Payee/Vendor</t>
        </is>
      </c>
      <c r="D1" s="5" t="inlineStr">
        <is>
          <t>Amount</t>
        </is>
      </c>
      <c r="E1" s="5" t="inlineStr">
        <is>
          <t>Type</t>
        </is>
      </c>
      <c r="F1" s="5" t="inlineStr">
        <is>
          <t>Account (QBO)</t>
        </is>
      </c>
      <c r="G1" s="5" t="inlineStr">
        <is>
          <t>Class/Location</t>
        </is>
      </c>
      <c r="H1" s="5" t="inlineStr">
        <is>
          <t>Memo/Description</t>
        </is>
      </c>
      <c r="I1" s="5" t="inlineStr">
        <is>
          <t>Source_Doc_Link</t>
        </is>
      </c>
      <c r="J1" s="5" t="inlineStr">
        <is>
          <t>Source_Doc_Hash</t>
        </is>
      </c>
      <c r="K1" s="5" t="inlineStr">
        <is>
          <t>Bank Ref / Check#</t>
        </is>
      </c>
      <c r="L1" s="5" t="inlineStr">
        <is>
          <t>Status</t>
        </is>
      </c>
      <c r="M1" s="5" t="inlineStr">
        <is>
          <t>QBO_Txn_ID</t>
        </is>
      </c>
      <c r="N1" s="5" t="inlineStr">
        <is>
          <t>Confidence</t>
        </is>
      </c>
      <c r="O1" s="5" t="inlineStr">
        <is>
          <t>Entered_By</t>
        </is>
      </c>
      <c r="P1" s="5" t="inlineStr">
        <is>
          <t>Entered_Date</t>
        </is>
      </c>
      <c r="Q1" s="5" t="inlineStr">
        <is>
          <t>Dup_Check</t>
        </is>
      </c>
    </row>
    <row r="2">
      <c r="A2" s="6" t="inlineStr">
        <is>
          <t>a1b2c3d4-0001</t>
        </is>
      </c>
      <c r="B2" s="7" t="inlineStr">
        <is>
          <t>2026-07-15</t>
        </is>
      </c>
      <c r="C2" s="6" t="inlineStr">
        <is>
          <t>Office Depot</t>
        </is>
      </c>
      <c r="D2" s="8" t="n">
        <v>128.44</v>
      </c>
      <c r="E2" s="6" t="inlineStr">
        <is>
          <t>Expense</t>
        </is>
      </c>
      <c r="F2" s="6" t="inlineStr">
        <is>
          <t>Office Supplies</t>
        </is>
      </c>
      <c r="G2" s="6" t="inlineStr"/>
      <c r="H2" s="6" t="inlineStr">
        <is>
          <t>Printer paper + toner (invoice #4471)</t>
        </is>
      </c>
      <c r="I2" s="6" t="inlineStr">
        <is>
          <t>https://drive.google.com/file/d/EXAMPLE</t>
        </is>
      </c>
      <c r="J2" s="6" t="inlineStr">
        <is>
          <t>9f2c...e71a (sha256)</t>
        </is>
      </c>
      <c r="K2" s="6" t="inlineStr">
        <is>
          <t>CHK 1043</t>
        </is>
      </c>
      <c r="L2" s="6" t="inlineStr">
        <is>
          <t>Needs Review</t>
        </is>
      </c>
      <c r="M2" s="6" t="inlineStr"/>
      <c r="N2" s="9" t="n">
        <v>0.98</v>
      </c>
      <c r="O2" s="6" t="inlineStr">
        <is>
          <t>agent</t>
        </is>
      </c>
      <c r="P2" s="7" t="inlineStr">
        <is>
          <t>2026-07-15</t>
        </is>
      </c>
      <c r="Q2" s="10">
        <f>IF($J2="","",IF(COUNTIF($J$2:$J$2000,$J2)&gt;1,"DUP-HASH",IF(COUNTIFS($B$2:$B$2000,$B2,$D$2:$D$2000,$D2,$C$2:$C$2000,$C2)&gt;1,"DUP-MATCH","")))</f>
        <v/>
      </c>
    </row>
    <row r="3">
      <c r="B3" s="11" t="n"/>
      <c r="D3" s="12" t="n"/>
      <c r="F3" s="13" t="n"/>
      <c r="L3" s="13" t="n"/>
      <c r="N3" s="14" t="n"/>
      <c r="P3" s="11" t="n"/>
      <c r="Q3" s="15">
        <f>IF($J3="","",IF(COUNTIF($J$2:$J$2000,$J3)&gt;1,"DUP-HASH",IF(COUNTIFS($B$2:$B$2000,$B3,$D$2:$D$2000,$D3,$C$2:$C$2000,$C3)&gt;1,"DUP-MATCH","")))</f>
        <v/>
      </c>
    </row>
    <row r="4">
      <c r="B4" s="11" t="n"/>
      <c r="D4" s="12" t="n"/>
      <c r="F4" s="13" t="n"/>
      <c r="L4" s="13" t="n"/>
      <c r="N4" s="14" t="n"/>
      <c r="P4" s="11" t="n"/>
      <c r="Q4" s="15">
        <f>IF($J4="","",IF(COUNTIF($J$2:$J$2000,$J4)&gt;1,"DUP-HASH",IF(COUNTIFS($B$2:$B$2000,$B4,$D$2:$D$2000,$D4,$C$2:$C$2000,$C4)&gt;1,"DUP-MATCH","")))</f>
        <v/>
      </c>
    </row>
    <row r="5">
      <c r="B5" s="11" t="n"/>
      <c r="D5" s="12" t="n"/>
      <c r="F5" s="13" t="n"/>
      <c r="L5" s="13" t="n"/>
      <c r="N5" s="14" t="n"/>
      <c r="P5" s="11" t="n"/>
      <c r="Q5" s="15">
        <f>IF($J5="","",IF(COUNTIF($J$2:$J$2000,$J5)&gt;1,"DUP-HASH",IF(COUNTIFS($B$2:$B$2000,$B5,$D$2:$D$2000,$D5,$C$2:$C$2000,$C5)&gt;1,"DUP-MATCH","")))</f>
        <v/>
      </c>
    </row>
    <row r="6">
      <c r="B6" s="11" t="n"/>
      <c r="D6" s="12" t="n"/>
      <c r="F6" s="13" t="n"/>
      <c r="L6" s="13" t="n"/>
      <c r="N6" s="14" t="n"/>
      <c r="P6" s="11" t="n"/>
      <c r="Q6" s="15">
        <f>IF($J6="","",IF(COUNTIF($J$2:$J$2000,$J6)&gt;1,"DUP-HASH",IF(COUNTIFS($B$2:$B$2000,$B6,$D$2:$D$2000,$D6,$C$2:$C$2000,$C6)&gt;1,"DUP-MATCH","")))</f>
        <v/>
      </c>
    </row>
    <row r="7">
      <c r="B7" s="11" t="n"/>
      <c r="D7" s="12" t="n"/>
      <c r="F7" s="13" t="n"/>
      <c r="L7" s="13" t="n"/>
      <c r="N7" s="14" t="n"/>
      <c r="P7" s="11" t="n"/>
      <c r="Q7" s="15">
        <f>IF($J7="","",IF(COUNTIF($J$2:$J$2000,$J7)&gt;1,"DUP-HASH",IF(COUNTIFS($B$2:$B$2000,$B7,$D$2:$D$2000,$D7,$C$2:$C$2000,$C7)&gt;1,"DUP-MATCH","")))</f>
        <v/>
      </c>
    </row>
    <row r="8">
      <c r="B8" s="11" t="n"/>
      <c r="D8" s="12" t="n"/>
      <c r="F8" s="13" t="n"/>
      <c r="L8" s="13" t="n"/>
      <c r="N8" s="14" t="n"/>
      <c r="P8" s="11" t="n"/>
      <c r="Q8" s="15">
        <f>IF($J8="","",IF(COUNTIF($J$2:$J$2000,$J8)&gt;1,"DUP-HASH",IF(COUNTIFS($B$2:$B$2000,$B8,$D$2:$D$2000,$D8,$C$2:$C$2000,$C8)&gt;1,"DUP-MATCH","")))</f>
        <v/>
      </c>
    </row>
    <row r="9">
      <c r="B9" s="11" t="n"/>
      <c r="D9" s="12" t="n"/>
      <c r="F9" s="13" t="n"/>
      <c r="L9" s="13" t="n"/>
      <c r="N9" s="14" t="n"/>
      <c r="P9" s="11" t="n"/>
      <c r="Q9" s="15">
        <f>IF($J9="","",IF(COUNTIF($J$2:$J$2000,$J9)&gt;1,"DUP-HASH",IF(COUNTIFS($B$2:$B$2000,$B9,$D$2:$D$2000,$D9,$C$2:$C$2000,$C9)&gt;1,"DUP-MATCH","")))</f>
        <v/>
      </c>
    </row>
    <row r="10">
      <c r="B10" s="11" t="n"/>
      <c r="D10" s="12" t="n"/>
      <c r="F10" s="13" t="n"/>
      <c r="L10" s="13" t="n"/>
      <c r="N10" s="14" t="n"/>
      <c r="P10" s="11" t="n"/>
      <c r="Q10" s="15">
        <f>IF($J10="","",IF(COUNTIF($J$2:$J$2000,$J10)&gt;1,"DUP-HASH",IF(COUNTIFS($B$2:$B$2000,$B10,$D$2:$D$2000,$D10,$C$2:$C$2000,$C10)&gt;1,"DUP-MATCH","")))</f>
        <v/>
      </c>
    </row>
    <row r="11">
      <c r="B11" s="11" t="n"/>
      <c r="D11" s="12" t="n"/>
      <c r="F11" s="13" t="n"/>
      <c r="L11" s="13" t="n"/>
      <c r="N11" s="14" t="n"/>
      <c r="P11" s="11" t="n"/>
      <c r="Q11" s="15">
        <f>IF($J11="","",IF(COUNTIF($J$2:$J$2000,$J11)&gt;1,"DUP-HASH",IF(COUNTIFS($B$2:$B$2000,$B11,$D$2:$D$2000,$D11,$C$2:$C$2000,$C11)&gt;1,"DUP-MATCH","")))</f>
        <v/>
      </c>
    </row>
    <row r="12">
      <c r="B12" s="11" t="n"/>
      <c r="D12" s="12" t="n"/>
      <c r="F12" s="13" t="n"/>
      <c r="L12" s="13" t="n"/>
      <c r="N12" s="14" t="n"/>
      <c r="P12" s="11" t="n"/>
      <c r="Q12" s="15">
        <f>IF($J12="","",IF(COUNTIF($J$2:$J$2000,$J12)&gt;1,"DUP-HASH",IF(COUNTIFS($B$2:$B$2000,$B12,$D$2:$D$2000,$D12,$C$2:$C$2000,$C12)&gt;1,"DUP-MATCH","")))</f>
        <v/>
      </c>
    </row>
    <row r="13">
      <c r="B13" s="11" t="n"/>
      <c r="D13" s="12" t="n"/>
      <c r="F13" s="13" t="n"/>
      <c r="L13" s="13" t="n"/>
      <c r="N13" s="14" t="n"/>
      <c r="P13" s="11" t="n"/>
      <c r="Q13" s="15">
        <f>IF($J13="","",IF(COUNTIF($J$2:$J$2000,$J13)&gt;1,"DUP-HASH",IF(COUNTIFS($B$2:$B$2000,$B13,$D$2:$D$2000,$D13,$C$2:$C$2000,$C13)&gt;1,"DUP-MATCH","")))</f>
        <v/>
      </c>
    </row>
    <row r="14">
      <c r="B14" s="11" t="n"/>
      <c r="D14" s="12" t="n"/>
      <c r="F14" s="13" t="n"/>
      <c r="L14" s="13" t="n"/>
      <c r="N14" s="14" t="n"/>
      <c r="P14" s="11" t="n"/>
      <c r="Q14" s="15">
        <f>IF($J14="","",IF(COUNTIF($J$2:$J$2000,$J14)&gt;1,"DUP-HASH",IF(COUNTIFS($B$2:$B$2000,$B14,$D$2:$D$2000,$D14,$C$2:$C$2000,$C14)&gt;1,"DUP-MATCH","")))</f>
        <v/>
      </c>
    </row>
    <row r="15">
      <c r="B15" s="11" t="n"/>
      <c r="D15" s="12" t="n"/>
      <c r="F15" s="13" t="n"/>
      <c r="L15" s="13" t="n"/>
      <c r="N15" s="14" t="n"/>
      <c r="P15" s="11" t="n"/>
      <c r="Q15" s="15">
        <f>IF($J15="","",IF(COUNTIF($J$2:$J$2000,$J15)&gt;1,"DUP-HASH",IF(COUNTIFS($B$2:$B$2000,$B15,$D$2:$D$2000,$D15,$C$2:$C$2000,$C15)&gt;1,"DUP-MATCH","")))</f>
        <v/>
      </c>
    </row>
    <row r="16">
      <c r="B16" s="11" t="n"/>
      <c r="D16" s="12" t="n"/>
      <c r="F16" s="13" t="n"/>
      <c r="L16" s="13" t="n"/>
      <c r="N16" s="14" t="n"/>
      <c r="P16" s="11" t="n"/>
      <c r="Q16" s="15">
        <f>IF($J16="","",IF(COUNTIF($J$2:$J$2000,$J16)&gt;1,"DUP-HASH",IF(COUNTIFS($B$2:$B$2000,$B16,$D$2:$D$2000,$D16,$C$2:$C$2000,$C16)&gt;1,"DUP-MATCH","")))</f>
        <v/>
      </c>
    </row>
    <row r="17">
      <c r="B17" s="11" t="n"/>
      <c r="D17" s="12" t="n"/>
      <c r="F17" s="13" t="n"/>
      <c r="L17" s="13" t="n"/>
      <c r="N17" s="14" t="n"/>
      <c r="P17" s="11" t="n"/>
      <c r="Q17" s="15">
        <f>IF($J17="","",IF(COUNTIF($J$2:$J$2000,$J17)&gt;1,"DUP-HASH",IF(COUNTIFS($B$2:$B$2000,$B17,$D$2:$D$2000,$D17,$C$2:$C$2000,$C17)&gt;1,"DUP-MATCH","")))</f>
        <v/>
      </c>
    </row>
    <row r="18">
      <c r="B18" s="11" t="n"/>
      <c r="D18" s="12" t="n"/>
      <c r="F18" s="13" t="n"/>
      <c r="L18" s="13" t="n"/>
      <c r="N18" s="14" t="n"/>
      <c r="P18" s="11" t="n"/>
      <c r="Q18" s="15">
        <f>IF($J18="","",IF(COUNTIF($J$2:$J$2000,$J18)&gt;1,"DUP-HASH",IF(COUNTIFS($B$2:$B$2000,$B18,$D$2:$D$2000,$D18,$C$2:$C$2000,$C18)&gt;1,"DUP-MATCH","")))</f>
        <v/>
      </c>
    </row>
    <row r="19">
      <c r="B19" s="11" t="n"/>
      <c r="D19" s="12" t="n"/>
      <c r="F19" s="13" t="n"/>
      <c r="L19" s="13" t="n"/>
      <c r="N19" s="14" t="n"/>
      <c r="P19" s="11" t="n"/>
      <c r="Q19" s="15">
        <f>IF($J19="","",IF(COUNTIF($J$2:$J$2000,$J19)&gt;1,"DUP-HASH",IF(COUNTIFS($B$2:$B$2000,$B19,$D$2:$D$2000,$D19,$C$2:$C$2000,$C19)&gt;1,"DUP-MATCH","")))</f>
        <v/>
      </c>
    </row>
    <row r="20">
      <c r="B20" s="11" t="n"/>
      <c r="D20" s="12" t="n"/>
      <c r="F20" s="13" t="n"/>
      <c r="L20" s="13" t="n"/>
      <c r="N20" s="14" t="n"/>
      <c r="P20" s="11" t="n"/>
      <c r="Q20" s="15">
        <f>IF($J20="","",IF(COUNTIF($J$2:$J$2000,$J20)&gt;1,"DUP-HASH",IF(COUNTIFS($B$2:$B$2000,$B20,$D$2:$D$2000,$D20,$C$2:$C$2000,$C20)&gt;1,"DUP-MATCH","")))</f>
        <v/>
      </c>
    </row>
    <row r="21">
      <c r="B21" s="11" t="n"/>
      <c r="D21" s="12" t="n"/>
      <c r="F21" s="13" t="n"/>
      <c r="L21" s="13" t="n"/>
      <c r="N21" s="14" t="n"/>
      <c r="P21" s="11" t="n"/>
      <c r="Q21" s="15">
        <f>IF($J21="","",IF(COUNTIF($J$2:$J$2000,$J21)&gt;1,"DUP-HASH",IF(COUNTIFS($B$2:$B$2000,$B21,$D$2:$D$2000,$D21,$C$2:$C$2000,$C21)&gt;1,"DUP-MATCH","")))</f>
        <v/>
      </c>
    </row>
    <row r="22">
      <c r="B22" s="11" t="n"/>
      <c r="D22" s="12" t="n"/>
      <c r="F22" s="13" t="n"/>
      <c r="L22" s="13" t="n"/>
      <c r="N22" s="14" t="n"/>
      <c r="P22" s="11" t="n"/>
      <c r="Q22" s="15">
        <f>IF($J22="","",IF(COUNTIF($J$2:$J$2000,$J22)&gt;1,"DUP-HASH",IF(COUNTIFS($B$2:$B$2000,$B22,$D$2:$D$2000,$D22,$C$2:$C$2000,$C22)&gt;1,"DUP-MATCH","")))</f>
        <v/>
      </c>
    </row>
    <row r="23">
      <c r="B23" s="11" t="n"/>
      <c r="D23" s="12" t="n"/>
      <c r="F23" s="13" t="n"/>
      <c r="L23" s="13" t="n"/>
      <c r="N23" s="14" t="n"/>
      <c r="P23" s="11" t="n"/>
      <c r="Q23" s="15">
        <f>IF($J23="","",IF(COUNTIF($J$2:$J$2000,$J23)&gt;1,"DUP-HASH",IF(COUNTIFS($B$2:$B$2000,$B23,$D$2:$D$2000,$D23,$C$2:$C$2000,$C23)&gt;1,"DUP-MATCH","")))</f>
        <v/>
      </c>
    </row>
    <row r="24">
      <c r="B24" s="11" t="n"/>
      <c r="D24" s="12" t="n"/>
      <c r="F24" s="13" t="n"/>
      <c r="L24" s="13" t="n"/>
      <c r="N24" s="14" t="n"/>
      <c r="P24" s="11" t="n"/>
      <c r="Q24" s="15">
        <f>IF($J24="","",IF(COUNTIF($J$2:$J$2000,$J24)&gt;1,"DUP-HASH",IF(COUNTIFS($B$2:$B$2000,$B24,$D$2:$D$2000,$D24,$C$2:$C$2000,$C24)&gt;1,"DUP-MATCH","")))</f>
        <v/>
      </c>
    </row>
    <row r="25">
      <c r="B25" s="11" t="n"/>
      <c r="D25" s="12" t="n"/>
      <c r="F25" s="13" t="n"/>
      <c r="L25" s="13" t="n"/>
      <c r="N25" s="14" t="n"/>
      <c r="P25" s="11" t="n"/>
      <c r="Q25" s="15">
        <f>IF($J25="","",IF(COUNTIF($J$2:$J$2000,$J25)&gt;1,"DUP-HASH",IF(COUNTIFS($B$2:$B$2000,$B25,$D$2:$D$2000,$D25,$C$2:$C$2000,$C25)&gt;1,"DUP-MATCH","")))</f>
        <v/>
      </c>
    </row>
    <row r="26">
      <c r="B26" s="11" t="n"/>
      <c r="D26" s="12" t="n"/>
      <c r="F26" s="13" t="n"/>
      <c r="L26" s="13" t="n"/>
      <c r="N26" s="14" t="n"/>
      <c r="P26" s="11" t="n"/>
      <c r="Q26" s="15">
        <f>IF($J26="","",IF(COUNTIF($J$2:$J$2000,$J26)&gt;1,"DUP-HASH",IF(COUNTIFS($B$2:$B$2000,$B26,$D$2:$D$2000,$D26,$C$2:$C$2000,$C26)&gt;1,"DUP-MATCH","")))</f>
        <v/>
      </c>
    </row>
    <row r="27">
      <c r="B27" s="11" t="n"/>
      <c r="D27" s="12" t="n"/>
      <c r="F27" s="13" t="n"/>
      <c r="L27" s="13" t="n"/>
      <c r="N27" s="14" t="n"/>
      <c r="P27" s="11" t="n"/>
      <c r="Q27" s="15">
        <f>IF($J27="","",IF(COUNTIF($J$2:$J$2000,$J27)&gt;1,"DUP-HASH",IF(COUNTIFS($B$2:$B$2000,$B27,$D$2:$D$2000,$D27,$C$2:$C$2000,$C27)&gt;1,"DUP-MATCH","")))</f>
        <v/>
      </c>
    </row>
    <row r="28">
      <c r="B28" s="11" t="n"/>
      <c r="D28" s="12" t="n"/>
      <c r="F28" s="13" t="n"/>
      <c r="L28" s="13" t="n"/>
      <c r="N28" s="14" t="n"/>
      <c r="P28" s="11" t="n"/>
      <c r="Q28" s="15">
        <f>IF($J28="","",IF(COUNTIF($J$2:$J$2000,$J28)&gt;1,"DUP-HASH",IF(COUNTIFS($B$2:$B$2000,$B28,$D$2:$D$2000,$D28,$C$2:$C$2000,$C28)&gt;1,"DUP-MATCH","")))</f>
        <v/>
      </c>
    </row>
    <row r="29">
      <c r="B29" s="11" t="n"/>
      <c r="D29" s="12" t="n"/>
      <c r="F29" s="13" t="n"/>
      <c r="L29" s="13" t="n"/>
      <c r="N29" s="14" t="n"/>
      <c r="P29" s="11" t="n"/>
      <c r="Q29" s="15">
        <f>IF($J29="","",IF(COUNTIF($J$2:$J$2000,$J29)&gt;1,"DUP-HASH",IF(COUNTIFS($B$2:$B$2000,$B29,$D$2:$D$2000,$D29,$C$2:$C$2000,$C29)&gt;1,"DUP-MATCH","")))</f>
        <v/>
      </c>
    </row>
    <row r="30">
      <c r="B30" s="11" t="n"/>
      <c r="D30" s="12" t="n"/>
      <c r="F30" s="13" t="n"/>
      <c r="L30" s="13" t="n"/>
      <c r="N30" s="14" t="n"/>
      <c r="P30" s="11" t="n"/>
      <c r="Q30" s="15">
        <f>IF($J30="","",IF(COUNTIF($J$2:$J$2000,$J30)&gt;1,"DUP-HASH",IF(COUNTIFS($B$2:$B$2000,$B30,$D$2:$D$2000,$D30,$C$2:$C$2000,$C30)&gt;1,"DUP-MATCH","")))</f>
        <v/>
      </c>
    </row>
    <row r="31">
      <c r="B31" s="11" t="n"/>
      <c r="D31" s="12" t="n"/>
      <c r="F31" s="13" t="n"/>
      <c r="L31" s="13" t="n"/>
      <c r="N31" s="14" t="n"/>
      <c r="P31" s="11" t="n"/>
      <c r="Q31" s="15">
        <f>IF($J31="","",IF(COUNTIF($J$2:$J$2000,$J31)&gt;1,"DUP-HASH",IF(COUNTIFS($B$2:$B$2000,$B31,$D$2:$D$2000,$D31,$C$2:$C$2000,$C31)&gt;1,"DUP-MATCH","")))</f>
        <v/>
      </c>
    </row>
    <row r="32">
      <c r="B32" s="11" t="n"/>
      <c r="D32" s="12" t="n"/>
      <c r="F32" s="13" t="n"/>
      <c r="L32" s="13" t="n"/>
      <c r="N32" s="14" t="n"/>
      <c r="P32" s="11" t="n"/>
      <c r="Q32" s="15">
        <f>IF($J32="","",IF(COUNTIF($J$2:$J$2000,$J32)&gt;1,"DUP-HASH",IF(COUNTIFS($B$2:$B$2000,$B32,$D$2:$D$2000,$D32,$C$2:$C$2000,$C32)&gt;1,"DUP-MATCH","")))</f>
        <v/>
      </c>
    </row>
    <row r="33">
      <c r="B33" s="11" t="n"/>
      <c r="D33" s="12" t="n"/>
      <c r="F33" s="13" t="n"/>
      <c r="L33" s="13" t="n"/>
      <c r="N33" s="14" t="n"/>
      <c r="P33" s="11" t="n"/>
      <c r="Q33" s="15">
        <f>IF($J33="","",IF(COUNTIF($J$2:$J$2000,$J33)&gt;1,"DUP-HASH",IF(COUNTIFS($B$2:$B$2000,$B33,$D$2:$D$2000,$D33,$C$2:$C$2000,$C33)&gt;1,"DUP-MATCH","")))</f>
        <v/>
      </c>
    </row>
    <row r="34">
      <c r="B34" s="11" t="n"/>
      <c r="D34" s="12" t="n"/>
      <c r="F34" s="13" t="n"/>
      <c r="L34" s="13" t="n"/>
      <c r="N34" s="14" t="n"/>
      <c r="P34" s="11" t="n"/>
      <c r="Q34" s="15">
        <f>IF($J34="","",IF(COUNTIF($J$2:$J$2000,$J34)&gt;1,"DUP-HASH",IF(COUNTIFS($B$2:$B$2000,$B34,$D$2:$D$2000,$D34,$C$2:$C$2000,$C34)&gt;1,"DUP-MATCH","")))</f>
        <v/>
      </c>
    </row>
    <row r="35">
      <c r="B35" s="11" t="n"/>
      <c r="D35" s="12" t="n"/>
      <c r="F35" s="13" t="n"/>
      <c r="L35" s="13" t="n"/>
      <c r="N35" s="14" t="n"/>
      <c r="P35" s="11" t="n"/>
      <c r="Q35" s="15">
        <f>IF($J35="","",IF(COUNTIF($J$2:$J$2000,$J35)&gt;1,"DUP-HASH",IF(COUNTIFS($B$2:$B$2000,$B35,$D$2:$D$2000,$D35,$C$2:$C$2000,$C35)&gt;1,"DUP-MATCH","")))</f>
        <v/>
      </c>
    </row>
    <row r="36">
      <c r="B36" s="11" t="n"/>
      <c r="D36" s="12" t="n"/>
      <c r="F36" s="13" t="n"/>
      <c r="L36" s="13" t="n"/>
      <c r="N36" s="14" t="n"/>
      <c r="P36" s="11" t="n"/>
      <c r="Q36" s="15">
        <f>IF($J36="","",IF(COUNTIF($J$2:$J$2000,$J36)&gt;1,"DUP-HASH",IF(COUNTIFS($B$2:$B$2000,$B36,$D$2:$D$2000,$D36,$C$2:$C$2000,$C36)&gt;1,"DUP-MATCH","")))</f>
        <v/>
      </c>
    </row>
    <row r="37">
      <c r="B37" s="11" t="n"/>
      <c r="D37" s="12" t="n"/>
      <c r="F37" s="13" t="n"/>
      <c r="L37" s="13" t="n"/>
      <c r="N37" s="14" t="n"/>
      <c r="P37" s="11" t="n"/>
      <c r="Q37" s="15">
        <f>IF($J37="","",IF(COUNTIF($J$2:$J$2000,$J37)&gt;1,"DUP-HASH",IF(COUNTIFS($B$2:$B$2000,$B37,$D$2:$D$2000,$D37,$C$2:$C$2000,$C37)&gt;1,"DUP-MATCH","")))</f>
        <v/>
      </c>
    </row>
    <row r="38">
      <c r="B38" s="11" t="n"/>
      <c r="D38" s="12" t="n"/>
      <c r="F38" s="13" t="n"/>
      <c r="L38" s="13" t="n"/>
      <c r="N38" s="14" t="n"/>
      <c r="P38" s="11" t="n"/>
      <c r="Q38" s="15">
        <f>IF($J38="","",IF(COUNTIF($J$2:$J$2000,$J38)&gt;1,"DUP-HASH",IF(COUNTIFS($B$2:$B$2000,$B38,$D$2:$D$2000,$D38,$C$2:$C$2000,$C38)&gt;1,"DUP-MATCH","")))</f>
        <v/>
      </c>
    </row>
    <row r="39">
      <c r="B39" s="11" t="n"/>
      <c r="D39" s="12" t="n"/>
      <c r="F39" s="13" t="n"/>
      <c r="L39" s="13" t="n"/>
      <c r="N39" s="14" t="n"/>
      <c r="P39" s="11" t="n"/>
      <c r="Q39" s="15">
        <f>IF($J39="","",IF(COUNTIF($J$2:$J$2000,$J39)&gt;1,"DUP-HASH",IF(COUNTIFS($B$2:$B$2000,$B39,$D$2:$D$2000,$D39,$C$2:$C$2000,$C39)&gt;1,"DUP-MATCH","")))</f>
        <v/>
      </c>
    </row>
    <row r="40">
      <c r="B40" s="11" t="n"/>
      <c r="D40" s="12" t="n"/>
      <c r="F40" s="13" t="n"/>
      <c r="L40" s="13" t="n"/>
      <c r="N40" s="14" t="n"/>
      <c r="P40" s="11" t="n"/>
      <c r="Q40" s="15">
        <f>IF($J40="","",IF(COUNTIF($J$2:$J$2000,$J40)&gt;1,"DUP-HASH",IF(COUNTIFS($B$2:$B$2000,$B40,$D$2:$D$2000,$D40,$C$2:$C$2000,$C40)&gt;1,"DUP-MATCH","")))</f>
        <v/>
      </c>
    </row>
    <row r="41">
      <c r="B41" s="11" t="n"/>
      <c r="D41" s="12" t="n"/>
      <c r="F41" s="13" t="n"/>
      <c r="L41" s="13" t="n"/>
      <c r="N41" s="14" t="n"/>
      <c r="P41" s="11" t="n"/>
      <c r="Q41" s="15">
        <f>IF($J41="","",IF(COUNTIF($J$2:$J$2000,$J41)&gt;1,"DUP-HASH",IF(COUNTIFS($B$2:$B$2000,$B41,$D$2:$D$2000,$D41,$C$2:$C$2000,$C41)&gt;1,"DUP-MATCH","")))</f>
        <v/>
      </c>
    </row>
    <row r="42">
      <c r="B42" s="11" t="n"/>
      <c r="D42" s="12" t="n"/>
      <c r="F42" s="13" t="n"/>
      <c r="L42" s="13" t="n"/>
      <c r="N42" s="14" t="n"/>
      <c r="P42" s="11" t="n"/>
      <c r="Q42" s="15">
        <f>IF($J42="","",IF(COUNTIF($J$2:$J$2000,$J42)&gt;1,"DUP-HASH",IF(COUNTIFS($B$2:$B$2000,$B42,$D$2:$D$2000,$D42,$C$2:$C$2000,$C42)&gt;1,"DUP-MATCH","")))</f>
        <v/>
      </c>
    </row>
    <row r="43">
      <c r="B43" s="11" t="n"/>
      <c r="D43" s="12" t="n"/>
      <c r="F43" s="13" t="n"/>
      <c r="L43" s="13" t="n"/>
      <c r="N43" s="14" t="n"/>
      <c r="P43" s="11" t="n"/>
      <c r="Q43" s="15">
        <f>IF($J43="","",IF(COUNTIF($J$2:$J$2000,$J43)&gt;1,"DUP-HASH",IF(COUNTIFS($B$2:$B$2000,$B43,$D$2:$D$2000,$D43,$C$2:$C$2000,$C43)&gt;1,"DUP-MATCH","")))</f>
        <v/>
      </c>
    </row>
    <row r="44">
      <c r="B44" s="11" t="n"/>
      <c r="D44" s="12" t="n"/>
      <c r="F44" s="13" t="n"/>
      <c r="L44" s="13" t="n"/>
      <c r="N44" s="14" t="n"/>
      <c r="P44" s="11" t="n"/>
      <c r="Q44" s="15">
        <f>IF($J44="","",IF(COUNTIF($J$2:$J$2000,$J44)&gt;1,"DUP-HASH",IF(COUNTIFS($B$2:$B$2000,$B44,$D$2:$D$2000,$D44,$C$2:$C$2000,$C44)&gt;1,"DUP-MATCH","")))</f>
        <v/>
      </c>
    </row>
    <row r="45">
      <c r="B45" s="11" t="n"/>
      <c r="D45" s="12" t="n"/>
      <c r="F45" s="13" t="n"/>
      <c r="L45" s="13" t="n"/>
      <c r="N45" s="14" t="n"/>
      <c r="P45" s="11" t="n"/>
      <c r="Q45" s="15">
        <f>IF($J45="","",IF(COUNTIF($J$2:$J$2000,$J45)&gt;1,"DUP-HASH",IF(COUNTIFS($B$2:$B$2000,$B45,$D$2:$D$2000,$D45,$C$2:$C$2000,$C45)&gt;1,"DUP-MATCH","")))</f>
        <v/>
      </c>
    </row>
    <row r="46">
      <c r="B46" s="11" t="n"/>
      <c r="D46" s="12" t="n"/>
      <c r="F46" s="13" t="n"/>
      <c r="L46" s="13" t="n"/>
      <c r="N46" s="14" t="n"/>
      <c r="P46" s="11" t="n"/>
      <c r="Q46" s="15">
        <f>IF($J46="","",IF(COUNTIF($J$2:$J$2000,$J46)&gt;1,"DUP-HASH",IF(COUNTIFS($B$2:$B$2000,$B46,$D$2:$D$2000,$D46,$C$2:$C$2000,$C46)&gt;1,"DUP-MATCH","")))</f>
        <v/>
      </c>
    </row>
    <row r="47">
      <c r="B47" s="11" t="n"/>
      <c r="D47" s="12" t="n"/>
      <c r="F47" s="13" t="n"/>
      <c r="L47" s="13" t="n"/>
      <c r="N47" s="14" t="n"/>
      <c r="P47" s="11" t="n"/>
      <c r="Q47" s="15">
        <f>IF($J47="","",IF(COUNTIF($J$2:$J$2000,$J47)&gt;1,"DUP-HASH",IF(COUNTIFS($B$2:$B$2000,$B47,$D$2:$D$2000,$D47,$C$2:$C$2000,$C47)&gt;1,"DUP-MATCH","")))</f>
        <v/>
      </c>
    </row>
    <row r="48">
      <c r="B48" s="11" t="n"/>
      <c r="D48" s="12" t="n"/>
      <c r="F48" s="13" t="n"/>
      <c r="L48" s="13" t="n"/>
      <c r="N48" s="14" t="n"/>
      <c r="P48" s="11" t="n"/>
      <c r="Q48" s="15">
        <f>IF($J48="","",IF(COUNTIF($J$2:$J$2000,$J48)&gt;1,"DUP-HASH",IF(COUNTIFS($B$2:$B$2000,$B48,$D$2:$D$2000,$D48,$C$2:$C$2000,$C48)&gt;1,"DUP-MATCH","")))</f>
        <v/>
      </c>
    </row>
    <row r="49">
      <c r="B49" s="11" t="n"/>
      <c r="D49" s="12" t="n"/>
      <c r="F49" s="13" t="n"/>
      <c r="L49" s="13" t="n"/>
      <c r="N49" s="14" t="n"/>
      <c r="P49" s="11" t="n"/>
      <c r="Q49" s="15">
        <f>IF($J49="","",IF(COUNTIF($J$2:$J$2000,$J49)&gt;1,"DUP-HASH",IF(COUNTIFS($B$2:$B$2000,$B49,$D$2:$D$2000,$D49,$C$2:$C$2000,$C49)&gt;1,"DUP-MATCH","")))</f>
        <v/>
      </c>
    </row>
    <row r="50">
      <c r="B50" s="11" t="n"/>
      <c r="D50" s="12" t="n"/>
      <c r="F50" s="13" t="n"/>
      <c r="L50" s="13" t="n"/>
      <c r="N50" s="14" t="n"/>
      <c r="P50" s="11" t="n"/>
      <c r="Q50" s="15">
        <f>IF($J50="","",IF(COUNTIF($J$2:$J$2000,$J50)&gt;1,"DUP-HASH",IF(COUNTIFS($B$2:$B$2000,$B50,$D$2:$D$2000,$D50,$C$2:$C$2000,$C50)&gt;1,"DUP-MATCH","")))</f>
        <v/>
      </c>
    </row>
    <row r="51">
      <c r="B51" s="11" t="n"/>
      <c r="D51" s="12" t="n"/>
      <c r="F51" s="13" t="n"/>
      <c r="L51" s="13" t="n"/>
      <c r="N51" s="14" t="n"/>
      <c r="P51" s="11" t="n"/>
      <c r="Q51" s="15">
        <f>IF($J51="","",IF(COUNTIF($J$2:$J$2000,$J51)&gt;1,"DUP-HASH",IF(COUNTIFS($B$2:$B$2000,$B51,$D$2:$D$2000,$D51,$C$2:$C$2000,$C51)&gt;1,"DUP-MATCH","")))</f>
        <v/>
      </c>
    </row>
    <row r="52">
      <c r="B52" s="11" t="n"/>
      <c r="D52" s="12" t="n"/>
      <c r="F52" s="13" t="n"/>
      <c r="L52" s="13" t="n"/>
      <c r="N52" s="14" t="n"/>
      <c r="P52" s="11" t="n"/>
      <c r="Q52" s="15">
        <f>IF($J52="","",IF(COUNTIF($J$2:$J$2000,$J52)&gt;1,"DUP-HASH",IF(COUNTIFS($B$2:$B$2000,$B52,$D$2:$D$2000,$D52,$C$2:$C$2000,$C52)&gt;1,"DUP-MATCH","")))</f>
        <v/>
      </c>
    </row>
    <row r="53">
      <c r="B53" s="11" t="n"/>
      <c r="D53" s="12" t="n"/>
      <c r="F53" s="13" t="n"/>
      <c r="L53" s="13" t="n"/>
      <c r="N53" s="14" t="n"/>
      <c r="P53" s="11" t="n"/>
      <c r="Q53" s="15">
        <f>IF($J53="","",IF(COUNTIF($J$2:$J$2000,$J53)&gt;1,"DUP-HASH",IF(COUNTIFS($B$2:$B$2000,$B53,$D$2:$D$2000,$D53,$C$2:$C$2000,$C53)&gt;1,"DUP-MATCH","")))</f>
        <v/>
      </c>
    </row>
    <row r="54">
      <c r="B54" s="11" t="n"/>
      <c r="D54" s="12" t="n"/>
      <c r="F54" s="13" t="n"/>
      <c r="L54" s="13" t="n"/>
      <c r="N54" s="14" t="n"/>
      <c r="P54" s="11" t="n"/>
      <c r="Q54" s="15">
        <f>IF($J54="","",IF(COUNTIF($J$2:$J$2000,$J54)&gt;1,"DUP-HASH",IF(COUNTIFS($B$2:$B$2000,$B54,$D$2:$D$2000,$D54,$C$2:$C$2000,$C54)&gt;1,"DUP-MATCH","")))</f>
        <v/>
      </c>
    </row>
    <row r="55">
      <c r="B55" s="11" t="n"/>
      <c r="D55" s="12" t="n"/>
      <c r="F55" s="13" t="n"/>
      <c r="L55" s="13" t="n"/>
      <c r="N55" s="14" t="n"/>
      <c r="P55" s="11" t="n"/>
      <c r="Q55" s="15">
        <f>IF($J55="","",IF(COUNTIF($J$2:$J$2000,$J55)&gt;1,"DUP-HASH",IF(COUNTIFS($B$2:$B$2000,$B55,$D$2:$D$2000,$D55,$C$2:$C$2000,$C55)&gt;1,"DUP-MATCH","")))</f>
        <v/>
      </c>
    </row>
    <row r="56">
      <c r="B56" s="11" t="n"/>
      <c r="D56" s="12" t="n"/>
      <c r="F56" s="13" t="n"/>
      <c r="L56" s="13" t="n"/>
      <c r="N56" s="14" t="n"/>
      <c r="P56" s="11" t="n"/>
      <c r="Q56" s="15">
        <f>IF($J56="","",IF(COUNTIF($J$2:$J$2000,$J56)&gt;1,"DUP-HASH",IF(COUNTIFS($B$2:$B$2000,$B56,$D$2:$D$2000,$D56,$C$2:$C$2000,$C56)&gt;1,"DUP-MATCH","")))</f>
        <v/>
      </c>
    </row>
    <row r="57">
      <c r="B57" s="11" t="n"/>
      <c r="D57" s="12" t="n"/>
      <c r="F57" s="13" t="n"/>
      <c r="L57" s="13" t="n"/>
      <c r="N57" s="14" t="n"/>
      <c r="P57" s="11" t="n"/>
      <c r="Q57" s="15">
        <f>IF($J57="","",IF(COUNTIF($J$2:$J$2000,$J57)&gt;1,"DUP-HASH",IF(COUNTIFS($B$2:$B$2000,$B57,$D$2:$D$2000,$D57,$C$2:$C$2000,$C57)&gt;1,"DUP-MATCH","")))</f>
        <v/>
      </c>
    </row>
    <row r="58">
      <c r="B58" s="11" t="n"/>
      <c r="D58" s="12" t="n"/>
      <c r="F58" s="13" t="n"/>
      <c r="L58" s="13" t="n"/>
      <c r="N58" s="14" t="n"/>
      <c r="P58" s="11" t="n"/>
      <c r="Q58" s="15">
        <f>IF($J58="","",IF(COUNTIF($J$2:$J$2000,$J58)&gt;1,"DUP-HASH",IF(COUNTIFS($B$2:$B$2000,$B58,$D$2:$D$2000,$D58,$C$2:$C$2000,$C58)&gt;1,"DUP-MATCH","")))</f>
        <v/>
      </c>
    </row>
    <row r="59">
      <c r="B59" s="11" t="n"/>
      <c r="D59" s="12" t="n"/>
      <c r="F59" s="13" t="n"/>
      <c r="L59" s="13" t="n"/>
      <c r="N59" s="14" t="n"/>
      <c r="P59" s="11" t="n"/>
      <c r="Q59" s="15">
        <f>IF($J59="","",IF(COUNTIF($J$2:$J$2000,$J59)&gt;1,"DUP-HASH",IF(COUNTIFS($B$2:$B$2000,$B59,$D$2:$D$2000,$D59,$C$2:$C$2000,$C59)&gt;1,"DUP-MATCH","")))</f>
        <v/>
      </c>
    </row>
    <row r="60">
      <c r="B60" s="11" t="n"/>
      <c r="D60" s="12" t="n"/>
      <c r="F60" s="13" t="n"/>
      <c r="L60" s="13" t="n"/>
      <c r="N60" s="14" t="n"/>
      <c r="P60" s="11" t="n"/>
      <c r="Q60" s="15">
        <f>IF($J60="","",IF(COUNTIF($J$2:$J$2000,$J60)&gt;1,"DUP-HASH",IF(COUNTIFS($B$2:$B$2000,$B60,$D$2:$D$2000,$D60,$C$2:$C$2000,$C60)&gt;1,"DUP-MATCH","")))</f>
        <v/>
      </c>
    </row>
    <row r="61">
      <c r="B61" s="11" t="n"/>
      <c r="D61" s="12" t="n"/>
      <c r="F61" s="13" t="n"/>
      <c r="L61" s="13" t="n"/>
      <c r="N61" s="14" t="n"/>
      <c r="P61" s="11" t="n"/>
      <c r="Q61" s="15">
        <f>IF($J61="","",IF(COUNTIF($J$2:$J$2000,$J61)&gt;1,"DUP-HASH",IF(COUNTIFS($B$2:$B$2000,$B61,$D$2:$D$2000,$D61,$C$2:$C$2000,$C61)&gt;1,"DUP-MATCH","")))</f>
        <v/>
      </c>
    </row>
    <row r="62">
      <c r="B62" s="11" t="n"/>
      <c r="D62" s="12" t="n"/>
      <c r="F62" s="13" t="n"/>
      <c r="L62" s="13" t="n"/>
      <c r="N62" s="14" t="n"/>
      <c r="P62" s="11" t="n"/>
      <c r="Q62" s="15">
        <f>IF($J62="","",IF(COUNTIF($J$2:$J$2000,$J62)&gt;1,"DUP-HASH",IF(COUNTIFS($B$2:$B$2000,$B62,$D$2:$D$2000,$D62,$C$2:$C$2000,$C62)&gt;1,"DUP-MATCH","")))</f>
        <v/>
      </c>
    </row>
    <row r="63">
      <c r="B63" s="11" t="n"/>
      <c r="D63" s="12" t="n"/>
      <c r="F63" s="13" t="n"/>
      <c r="L63" s="13" t="n"/>
      <c r="N63" s="14" t="n"/>
      <c r="P63" s="11" t="n"/>
      <c r="Q63" s="15">
        <f>IF($J63="","",IF(COUNTIF($J$2:$J$2000,$J63)&gt;1,"DUP-HASH",IF(COUNTIFS($B$2:$B$2000,$B63,$D$2:$D$2000,$D63,$C$2:$C$2000,$C63)&gt;1,"DUP-MATCH","")))</f>
        <v/>
      </c>
    </row>
    <row r="64">
      <c r="B64" s="11" t="n"/>
      <c r="D64" s="12" t="n"/>
      <c r="F64" s="13" t="n"/>
      <c r="L64" s="13" t="n"/>
      <c r="N64" s="14" t="n"/>
      <c r="P64" s="11" t="n"/>
      <c r="Q64" s="15">
        <f>IF($J64="","",IF(COUNTIF($J$2:$J$2000,$J64)&gt;1,"DUP-HASH",IF(COUNTIFS($B$2:$B$2000,$B64,$D$2:$D$2000,$D64,$C$2:$C$2000,$C64)&gt;1,"DUP-MATCH","")))</f>
        <v/>
      </c>
    </row>
    <row r="65">
      <c r="B65" s="11" t="n"/>
      <c r="D65" s="12" t="n"/>
      <c r="F65" s="13" t="n"/>
      <c r="L65" s="13" t="n"/>
      <c r="N65" s="14" t="n"/>
      <c r="P65" s="11" t="n"/>
      <c r="Q65" s="15">
        <f>IF($J65="","",IF(COUNTIF($J$2:$J$2000,$J65)&gt;1,"DUP-HASH",IF(COUNTIFS($B$2:$B$2000,$B65,$D$2:$D$2000,$D65,$C$2:$C$2000,$C65)&gt;1,"DUP-MATCH","")))</f>
        <v/>
      </c>
    </row>
    <row r="66">
      <c r="B66" s="11" t="n"/>
      <c r="D66" s="12" t="n"/>
      <c r="F66" s="13" t="n"/>
      <c r="L66" s="13" t="n"/>
      <c r="N66" s="14" t="n"/>
      <c r="P66" s="11" t="n"/>
      <c r="Q66" s="15">
        <f>IF($J66="","",IF(COUNTIF($J$2:$J$2000,$J66)&gt;1,"DUP-HASH",IF(COUNTIFS($B$2:$B$2000,$B66,$D$2:$D$2000,$D66,$C$2:$C$2000,$C66)&gt;1,"DUP-MATCH","")))</f>
        <v/>
      </c>
    </row>
    <row r="67">
      <c r="B67" s="11" t="n"/>
      <c r="D67" s="12" t="n"/>
      <c r="F67" s="13" t="n"/>
      <c r="L67" s="13" t="n"/>
      <c r="N67" s="14" t="n"/>
      <c r="P67" s="11" t="n"/>
      <c r="Q67" s="15">
        <f>IF($J67="","",IF(COUNTIF($J$2:$J$2000,$J67)&gt;1,"DUP-HASH",IF(COUNTIFS($B$2:$B$2000,$B67,$D$2:$D$2000,$D67,$C$2:$C$2000,$C67)&gt;1,"DUP-MATCH","")))</f>
        <v/>
      </c>
    </row>
    <row r="68">
      <c r="B68" s="11" t="n"/>
      <c r="D68" s="12" t="n"/>
      <c r="F68" s="13" t="n"/>
      <c r="L68" s="13" t="n"/>
      <c r="N68" s="14" t="n"/>
      <c r="P68" s="11" t="n"/>
      <c r="Q68" s="15">
        <f>IF($J68="","",IF(COUNTIF($J$2:$J$2000,$J68)&gt;1,"DUP-HASH",IF(COUNTIFS($B$2:$B$2000,$B68,$D$2:$D$2000,$D68,$C$2:$C$2000,$C68)&gt;1,"DUP-MATCH","")))</f>
        <v/>
      </c>
    </row>
    <row r="69">
      <c r="B69" s="11" t="n"/>
      <c r="D69" s="12" t="n"/>
      <c r="F69" s="13" t="n"/>
      <c r="L69" s="13" t="n"/>
      <c r="N69" s="14" t="n"/>
      <c r="P69" s="11" t="n"/>
      <c r="Q69" s="15">
        <f>IF($J69="","",IF(COUNTIF($J$2:$J$2000,$J69)&gt;1,"DUP-HASH",IF(COUNTIFS($B$2:$B$2000,$B69,$D$2:$D$2000,$D69,$C$2:$C$2000,$C69)&gt;1,"DUP-MATCH","")))</f>
        <v/>
      </c>
    </row>
    <row r="70">
      <c r="B70" s="11" t="n"/>
      <c r="D70" s="12" t="n"/>
      <c r="F70" s="13" t="n"/>
      <c r="L70" s="13" t="n"/>
      <c r="N70" s="14" t="n"/>
      <c r="P70" s="11" t="n"/>
      <c r="Q70" s="15">
        <f>IF($J70="","",IF(COUNTIF($J$2:$J$2000,$J70)&gt;1,"DUP-HASH",IF(COUNTIFS($B$2:$B$2000,$B70,$D$2:$D$2000,$D70,$C$2:$C$2000,$C70)&gt;1,"DUP-MATCH","")))</f>
        <v/>
      </c>
    </row>
    <row r="71">
      <c r="B71" s="11" t="n"/>
      <c r="D71" s="12" t="n"/>
      <c r="F71" s="13" t="n"/>
      <c r="L71" s="13" t="n"/>
      <c r="N71" s="14" t="n"/>
      <c r="P71" s="11" t="n"/>
      <c r="Q71" s="15">
        <f>IF($J71="","",IF(COUNTIF($J$2:$J$2000,$J71)&gt;1,"DUP-HASH",IF(COUNTIFS($B$2:$B$2000,$B71,$D$2:$D$2000,$D71,$C$2:$C$2000,$C71)&gt;1,"DUP-MATCH","")))</f>
        <v/>
      </c>
    </row>
    <row r="72">
      <c r="B72" s="11" t="n"/>
      <c r="D72" s="12" t="n"/>
      <c r="F72" s="13" t="n"/>
      <c r="L72" s="13" t="n"/>
      <c r="N72" s="14" t="n"/>
      <c r="P72" s="11" t="n"/>
      <c r="Q72" s="15">
        <f>IF($J72="","",IF(COUNTIF($J$2:$J$2000,$J72)&gt;1,"DUP-HASH",IF(COUNTIFS($B$2:$B$2000,$B72,$D$2:$D$2000,$D72,$C$2:$C$2000,$C72)&gt;1,"DUP-MATCH","")))</f>
        <v/>
      </c>
    </row>
    <row r="73">
      <c r="B73" s="11" t="n"/>
      <c r="D73" s="12" t="n"/>
      <c r="F73" s="13" t="n"/>
      <c r="L73" s="13" t="n"/>
      <c r="N73" s="14" t="n"/>
      <c r="P73" s="11" t="n"/>
      <c r="Q73" s="15">
        <f>IF($J73="","",IF(COUNTIF($J$2:$J$2000,$J73)&gt;1,"DUP-HASH",IF(COUNTIFS($B$2:$B$2000,$B73,$D$2:$D$2000,$D73,$C$2:$C$2000,$C73)&gt;1,"DUP-MATCH","")))</f>
        <v/>
      </c>
    </row>
    <row r="74">
      <c r="B74" s="11" t="n"/>
      <c r="D74" s="12" t="n"/>
      <c r="F74" s="13" t="n"/>
      <c r="L74" s="13" t="n"/>
      <c r="N74" s="14" t="n"/>
      <c r="P74" s="11" t="n"/>
      <c r="Q74" s="15">
        <f>IF($J74="","",IF(COUNTIF($J$2:$J$2000,$J74)&gt;1,"DUP-HASH",IF(COUNTIFS($B$2:$B$2000,$B74,$D$2:$D$2000,$D74,$C$2:$C$2000,$C74)&gt;1,"DUP-MATCH","")))</f>
        <v/>
      </c>
    </row>
    <row r="75">
      <c r="B75" s="11" t="n"/>
      <c r="D75" s="12" t="n"/>
      <c r="F75" s="13" t="n"/>
      <c r="L75" s="13" t="n"/>
      <c r="N75" s="14" t="n"/>
      <c r="P75" s="11" t="n"/>
      <c r="Q75" s="15">
        <f>IF($J75="","",IF(COUNTIF($J$2:$J$2000,$J75)&gt;1,"DUP-HASH",IF(COUNTIFS($B$2:$B$2000,$B75,$D$2:$D$2000,$D75,$C$2:$C$2000,$C75)&gt;1,"DUP-MATCH","")))</f>
        <v/>
      </c>
    </row>
    <row r="76">
      <c r="B76" s="11" t="n"/>
      <c r="D76" s="12" t="n"/>
      <c r="F76" s="13" t="n"/>
      <c r="L76" s="13" t="n"/>
      <c r="N76" s="14" t="n"/>
      <c r="P76" s="11" t="n"/>
      <c r="Q76" s="15">
        <f>IF($J76="","",IF(COUNTIF($J$2:$J$2000,$J76)&gt;1,"DUP-HASH",IF(COUNTIFS($B$2:$B$2000,$B76,$D$2:$D$2000,$D76,$C$2:$C$2000,$C76)&gt;1,"DUP-MATCH","")))</f>
        <v/>
      </c>
    </row>
    <row r="77">
      <c r="B77" s="11" t="n"/>
      <c r="D77" s="12" t="n"/>
      <c r="F77" s="13" t="n"/>
      <c r="L77" s="13" t="n"/>
      <c r="N77" s="14" t="n"/>
      <c r="P77" s="11" t="n"/>
      <c r="Q77" s="15">
        <f>IF($J77="","",IF(COUNTIF($J$2:$J$2000,$J77)&gt;1,"DUP-HASH",IF(COUNTIFS($B$2:$B$2000,$B77,$D$2:$D$2000,$D77,$C$2:$C$2000,$C77)&gt;1,"DUP-MATCH","")))</f>
        <v/>
      </c>
    </row>
    <row r="78">
      <c r="B78" s="11" t="n"/>
      <c r="D78" s="12" t="n"/>
      <c r="F78" s="13" t="n"/>
      <c r="L78" s="13" t="n"/>
      <c r="N78" s="14" t="n"/>
      <c r="P78" s="11" t="n"/>
      <c r="Q78" s="15">
        <f>IF($J78="","",IF(COUNTIF($J$2:$J$2000,$J78)&gt;1,"DUP-HASH",IF(COUNTIFS($B$2:$B$2000,$B78,$D$2:$D$2000,$D78,$C$2:$C$2000,$C78)&gt;1,"DUP-MATCH","")))</f>
        <v/>
      </c>
    </row>
    <row r="79">
      <c r="B79" s="11" t="n"/>
      <c r="D79" s="12" t="n"/>
      <c r="F79" s="13" t="n"/>
      <c r="L79" s="13" t="n"/>
      <c r="N79" s="14" t="n"/>
      <c r="P79" s="11" t="n"/>
      <c r="Q79" s="15">
        <f>IF($J79="","",IF(COUNTIF($J$2:$J$2000,$J79)&gt;1,"DUP-HASH",IF(COUNTIFS($B$2:$B$2000,$B79,$D$2:$D$2000,$D79,$C$2:$C$2000,$C79)&gt;1,"DUP-MATCH","")))</f>
        <v/>
      </c>
    </row>
    <row r="80">
      <c r="B80" s="11" t="n"/>
      <c r="D80" s="12" t="n"/>
      <c r="F80" s="13" t="n"/>
      <c r="L80" s="13" t="n"/>
      <c r="N80" s="14" t="n"/>
      <c r="P80" s="11" t="n"/>
      <c r="Q80" s="15">
        <f>IF($J80="","",IF(COUNTIF($J$2:$J$2000,$J80)&gt;1,"DUP-HASH",IF(COUNTIFS($B$2:$B$2000,$B80,$D$2:$D$2000,$D80,$C$2:$C$2000,$C80)&gt;1,"DUP-MATCH","")))</f>
        <v/>
      </c>
    </row>
    <row r="81">
      <c r="B81" s="11" t="n"/>
      <c r="D81" s="12" t="n"/>
      <c r="F81" s="13" t="n"/>
      <c r="L81" s="13" t="n"/>
      <c r="N81" s="14" t="n"/>
      <c r="P81" s="11" t="n"/>
      <c r="Q81" s="15">
        <f>IF($J81="","",IF(COUNTIF($J$2:$J$2000,$J81)&gt;1,"DUP-HASH",IF(COUNTIFS($B$2:$B$2000,$B81,$D$2:$D$2000,$D81,$C$2:$C$2000,$C81)&gt;1,"DUP-MATCH","")))</f>
        <v/>
      </c>
    </row>
    <row r="82">
      <c r="B82" s="11" t="n"/>
      <c r="D82" s="12" t="n"/>
      <c r="F82" s="13" t="n"/>
      <c r="L82" s="13" t="n"/>
      <c r="N82" s="14" t="n"/>
      <c r="P82" s="11" t="n"/>
      <c r="Q82" s="15">
        <f>IF($J82="","",IF(COUNTIF($J$2:$J$2000,$J82)&gt;1,"DUP-HASH",IF(COUNTIFS($B$2:$B$2000,$B82,$D$2:$D$2000,$D82,$C$2:$C$2000,$C82)&gt;1,"DUP-MATCH","")))</f>
        <v/>
      </c>
    </row>
    <row r="83">
      <c r="B83" s="11" t="n"/>
      <c r="D83" s="12" t="n"/>
      <c r="F83" s="13" t="n"/>
      <c r="L83" s="13" t="n"/>
      <c r="N83" s="14" t="n"/>
      <c r="P83" s="11" t="n"/>
      <c r="Q83" s="15">
        <f>IF($J83="","",IF(COUNTIF($J$2:$J$2000,$J83)&gt;1,"DUP-HASH",IF(COUNTIFS($B$2:$B$2000,$B83,$D$2:$D$2000,$D83,$C$2:$C$2000,$C83)&gt;1,"DUP-MATCH","")))</f>
        <v/>
      </c>
    </row>
    <row r="84">
      <c r="B84" s="11" t="n"/>
      <c r="D84" s="12" t="n"/>
      <c r="F84" s="13" t="n"/>
      <c r="L84" s="13" t="n"/>
      <c r="N84" s="14" t="n"/>
      <c r="P84" s="11" t="n"/>
      <c r="Q84" s="15">
        <f>IF($J84="","",IF(COUNTIF($J$2:$J$2000,$J84)&gt;1,"DUP-HASH",IF(COUNTIFS($B$2:$B$2000,$B84,$D$2:$D$2000,$D84,$C$2:$C$2000,$C84)&gt;1,"DUP-MATCH","")))</f>
        <v/>
      </c>
    </row>
    <row r="85">
      <c r="B85" s="11" t="n"/>
      <c r="D85" s="12" t="n"/>
      <c r="F85" s="13" t="n"/>
      <c r="L85" s="13" t="n"/>
      <c r="N85" s="14" t="n"/>
      <c r="P85" s="11" t="n"/>
      <c r="Q85" s="15">
        <f>IF($J85="","",IF(COUNTIF($J$2:$J$2000,$J85)&gt;1,"DUP-HASH",IF(COUNTIFS($B$2:$B$2000,$B85,$D$2:$D$2000,$D85,$C$2:$C$2000,$C85)&gt;1,"DUP-MATCH","")))</f>
        <v/>
      </c>
    </row>
    <row r="86">
      <c r="B86" s="11" t="n"/>
      <c r="D86" s="12" t="n"/>
      <c r="F86" s="13" t="n"/>
      <c r="L86" s="13" t="n"/>
      <c r="N86" s="14" t="n"/>
      <c r="P86" s="11" t="n"/>
      <c r="Q86" s="15">
        <f>IF($J86="","",IF(COUNTIF($J$2:$J$2000,$J86)&gt;1,"DUP-HASH",IF(COUNTIFS($B$2:$B$2000,$B86,$D$2:$D$2000,$D86,$C$2:$C$2000,$C86)&gt;1,"DUP-MATCH","")))</f>
        <v/>
      </c>
    </row>
    <row r="87">
      <c r="B87" s="11" t="n"/>
      <c r="D87" s="12" t="n"/>
      <c r="F87" s="13" t="n"/>
      <c r="L87" s="13" t="n"/>
      <c r="N87" s="14" t="n"/>
      <c r="P87" s="11" t="n"/>
      <c r="Q87" s="15">
        <f>IF($J87="","",IF(COUNTIF($J$2:$J$2000,$J87)&gt;1,"DUP-HASH",IF(COUNTIFS($B$2:$B$2000,$B87,$D$2:$D$2000,$D87,$C$2:$C$2000,$C87)&gt;1,"DUP-MATCH","")))</f>
        <v/>
      </c>
    </row>
    <row r="88">
      <c r="B88" s="11" t="n"/>
      <c r="D88" s="12" t="n"/>
      <c r="F88" s="13" t="n"/>
      <c r="L88" s="13" t="n"/>
      <c r="N88" s="14" t="n"/>
      <c r="P88" s="11" t="n"/>
      <c r="Q88" s="15">
        <f>IF($J88="","",IF(COUNTIF($J$2:$J$2000,$J88)&gt;1,"DUP-HASH",IF(COUNTIFS($B$2:$B$2000,$B88,$D$2:$D$2000,$D88,$C$2:$C$2000,$C88)&gt;1,"DUP-MATCH","")))</f>
        <v/>
      </c>
    </row>
    <row r="89">
      <c r="B89" s="11" t="n"/>
      <c r="D89" s="12" t="n"/>
      <c r="F89" s="13" t="n"/>
      <c r="L89" s="13" t="n"/>
      <c r="N89" s="14" t="n"/>
      <c r="P89" s="11" t="n"/>
      <c r="Q89" s="15">
        <f>IF($J89="","",IF(COUNTIF($J$2:$J$2000,$J89)&gt;1,"DUP-HASH",IF(COUNTIFS($B$2:$B$2000,$B89,$D$2:$D$2000,$D89,$C$2:$C$2000,$C89)&gt;1,"DUP-MATCH","")))</f>
        <v/>
      </c>
    </row>
    <row r="90">
      <c r="B90" s="11" t="n"/>
      <c r="D90" s="12" t="n"/>
      <c r="F90" s="13" t="n"/>
      <c r="L90" s="13" t="n"/>
      <c r="N90" s="14" t="n"/>
      <c r="P90" s="11" t="n"/>
      <c r="Q90" s="15">
        <f>IF($J90="","",IF(COUNTIF($J$2:$J$2000,$J90)&gt;1,"DUP-HASH",IF(COUNTIFS($B$2:$B$2000,$B90,$D$2:$D$2000,$D90,$C$2:$C$2000,$C90)&gt;1,"DUP-MATCH","")))</f>
        <v/>
      </c>
    </row>
    <row r="91">
      <c r="B91" s="11" t="n"/>
      <c r="D91" s="12" t="n"/>
      <c r="F91" s="13" t="n"/>
      <c r="L91" s="13" t="n"/>
      <c r="N91" s="14" t="n"/>
      <c r="P91" s="11" t="n"/>
      <c r="Q91" s="15">
        <f>IF($J91="","",IF(COUNTIF($J$2:$J$2000,$J91)&gt;1,"DUP-HASH",IF(COUNTIFS($B$2:$B$2000,$B91,$D$2:$D$2000,$D91,$C$2:$C$2000,$C91)&gt;1,"DUP-MATCH","")))</f>
        <v/>
      </c>
    </row>
    <row r="92">
      <c r="B92" s="11" t="n"/>
      <c r="D92" s="12" t="n"/>
      <c r="F92" s="13" t="n"/>
      <c r="L92" s="13" t="n"/>
      <c r="N92" s="14" t="n"/>
      <c r="P92" s="11" t="n"/>
      <c r="Q92" s="15">
        <f>IF($J92="","",IF(COUNTIF($J$2:$J$2000,$J92)&gt;1,"DUP-HASH",IF(COUNTIFS($B$2:$B$2000,$B92,$D$2:$D$2000,$D92,$C$2:$C$2000,$C92)&gt;1,"DUP-MATCH","")))</f>
        <v/>
      </c>
    </row>
    <row r="93">
      <c r="B93" s="11" t="n"/>
      <c r="D93" s="12" t="n"/>
      <c r="F93" s="13" t="n"/>
      <c r="L93" s="13" t="n"/>
      <c r="N93" s="14" t="n"/>
      <c r="P93" s="11" t="n"/>
      <c r="Q93" s="15">
        <f>IF($J93="","",IF(COUNTIF($J$2:$J$2000,$J93)&gt;1,"DUP-HASH",IF(COUNTIFS($B$2:$B$2000,$B93,$D$2:$D$2000,$D93,$C$2:$C$2000,$C93)&gt;1,"DUP-MATCH","")))</f>
        <v/>
      </c>
    </row>
    <row r="94">
      <c r="B94" s="11" t="n"/>
      <c r="D94" s="12" t="n"/>
      <c r="F94" s="13" t="n"/>
      <c r="L94" s="13" t="n"/>
      <c r="N94" s="14" t="n"/>
      <c r="P94" s="11" t="n"/>
      <c r="Q94" s="15">
        <f>IF($J94="","",IF(COUNTIF($J$2:$J$2000,$J94)&gt;1,"DUP-HASH",IF(COUNTIFS($B$2:$B$2000,$B94,$D$2:$D$2000,$D94,$C$2:$C$2000,$C94)&gt;1,"DUP-MATCH","")))</f>
        <v/>
      </c>
    </row>
    <row r="95">
      <c r="B95" s="11" t="n"/>
      <c r="D95" s="12" t="n"/>
      <c r="F95" s="13" t="n"/>
      <c r="L95" s="13" t="n"/>
      <c r="N95" s="14" t="n"/>
      <c r="P95" s="11" t="n"/>
      <c r="Q95" s="15">
        <f>IF($J95="","",IF(COUNTIF($J$2:$J$2000,$J95)&gt;1,"DUP-HASH",IF(COUNTIFS($B$2:$B$2000,$B95,$D$2:$D$2000,$D95,$C$2:$C$2000,$C95)&gt;1,"DUP-MATCH","")))</f>
        <v/>
      </c>
    </row>
    <row r="96">
      <c r="B96" s="11" t="n"/>
      <c r="D96" s="12" t="n"/>
      <c r="F96" s="13" t="n"/>
      <c r="L96" s="13" t="n"/>
      <c r="N96" s="14" t="n"/>
      <c r="P96" s="11" t="n"/>
      <c r="Q96" s="15">
        <f>IF($J96="","",IF(COUNTIF($J$2:$J$2000,$J96)&gt;1,"DUP-HASH",IF(COUNTIFS($B$2:$B$2000,$B96,$D$2:$D$2000,$D96,$C$2:$C$2000,$C96)&gt;1,"DUP-MATCH","")))</f>
        <v/>
      </c>
    </row>
    <row r="97">
      <c r="B97" s="11" t="n"/>
      <c r="D97" s="12" t="n"/>
      <c r="F97" s="13" t="n"/>
      <c r="L97" s="13" t="n"/>
      <c r="N97" s="14" t="n"/>
      <c r="P97" s="11" t="n"/>
      <c r="Q97" s="15">
        <f>IF($J97="","",IF(COUNTIF($J$2:$J$2000,$J97)&gt;1,"DUP-HASH",IF(COUNTIFS($B$2:$B$2000,$B97,$D$2:$D$2000,$D97,$C$2:$C$2000,$C97)&gt;1,"DUP-MATCH","")))</f>
        <v/>
      </c>
    </row>
    <row r="98">
      <c r="B98" s="11" t="n"/>
      <c r="D98" s="12" t="n"/>
      <c r="F98" s="13" t="n"/>
      <c r="L98" s="13" t="n"/>
      <c r="N98" s="14" t="n"/>
      <c r="P98" s="11" t="n"/>
      <c r="Q98" s="15">
        <f>IF($J98="","",IF(COUNTIF($J$2:$J$2000,$J98)&gt;1,"DUP-HASH",IF(COUNTIFS($B$2:$B$2000,$B98,$D$2:$D$2000,$D98,$C$2:$C$2000,$C98)&gt;1,"DUP-MATCH","")))</f>
        <v/>
      </c>
    </row>
    <row r="99">
      <c r="B99" s="11" t="n"/>
      <c r="D99" s="12" t="n"/>
      <c r="F99" s="13" t="n"/>
      <c r="L99" s="13" t="n"/>
      <c r="N99" s="14" t="n"/>
      <c r="P99" s="11" t="n"/>
      <c r="Q99" s="15">
        <f>IF($J99="","",IF(COUNTIF($J$2:$J$2000,$J99)&gt;1,"DUP-HASH",IF(COUNTIFS($B$2:$B$2000,$B99,$D$2:$D$2000,$D99,$C$2:$C$2000,$C99)&gt;1,"DUP-MATCH","")))</f>
        <v/>
      </c>
    </row>
    <row r="100">
      <c r="B100" s="11" t="n"/>
      <c r="D100" s="12" t="n"/>
      <c r="F100" s="13" t="n"/>
      <c r="L100" s="13" t="n"/>
      <c r="N100" s="14" t="n"/>
      <c r="P100" s="11" t="n"/>
      <c r="Q100" s="15">
        <f>IF($J100="","",IF(COUNTIF($J$2:$J$2000,$J100)&gt;1,"DUP-HASH",IF(COUNTIFS($B$2:$B$2000,$B100,$D$2:$D$2000,$D100,$C$2:$C$2000,$C100)&gt;1,"DUP-MATCH","")))</f>
        <v/>
      </c>
    </row>
    <row r="101">
      <c r="B101" s="11" t="n"/>
      <c r="D101" s="12" t="n"/>
      <c r="F101" s="13" t="n"/>
      <c r="L101" s="13" t="n"/>
      <c r="N101" s="14" t="n"/>
      <c r="P101" s="11" t="n"/>
      <c r="Q101" s="15">
        <f>IF($J101="","",IF(COUNTIF($J$2:$J$2000,$J101)&gt;1,"DUP-HASH",IF(COUNTIFS($B$2:$B$2000,$B101,$D$2:$D$2000,$D101,$C$2:$C$2000,$C101)&gt;1,"DUP-MATCH","")))</f>
        <v/>
      </c>
    </row>
    <row r="102">
      <c r="B102" s="11" t="n"/>
      <c r="D102" s="12" t="n"/>
      <c r="F102" s="13" t="n"/>
      <c r="L102" s="13" t="n"/>
      <c r="N102" s="14" t="n"/>
      <c r="P102" s="11" t="n"/>
      <c r="Q102" s="15">
        <f>IF($J102="","",IF(COUNTIF($J$2:$J$2000,$J102)&gt;1,"DUP-HASH",IF(COUNTIFS($B$2:$B$2000,$B102,$D$2:$D$2000,$D102,$C$2:$C$2000,$C102)&gt;1,"DUP-MATCH","")))</f>
        <v/>
      </c>
    </row>
    <row r="103">
      <c r="B103" s="11" t="n"/>
      <c r="D103" s="12" t="n"/>
      <c r="F103" s="13" t="n"/>
      <c r="L103" s="13" t="n"/>
      <c r="N103" s="14" t="n"/>
      <c r="P103" s="11" t="n"/>
      <c r="Q103" s="15">
        <f>IF($J103="","",IF(COUNTIF($J$2:$J$2000,$J103)&gt;1,"DUP-HASH",IF(COUNTIFS($B$2:$B$2000,$B103,$D$2:$D$2000,$D103,$C$2:$C$2000,$C103)&gt;1,"DUP-MATCH","")))</f>
        <v/>
      </c>
    </row>
    <row r="104">
      <c r="B104" s="11" t="n"/>
      <c r="D104" s="12" t="n"/>
      <c r="F104" s="13" t="n"/>
      <c r="L104" s="13" t="n"/>
      <c r="N104" s="14" t="n"/>
      <c r="P104" s="11" t="n"/>
      <c r="Q104" s="15">
        <f>IF($J104="","",IF(COUNTIF($J$2:$J$2000,$J104)&gt;1,"DUP-HASH",IF(COUNTIFS($B$2:$B$2000,$B104,$D$2:$D$2000,$D104,$C$2:$C$2000,$C104)&gt;1,"DUP-MATCH","")))</f>
        <v/>
      </c>
    </row>
    <row r="105">
      <c r="B105" s="11" t="n"/>
      <c r="D105" s="12" t="n"/>
      <c r="F105" s="13" t="n"/>
      <c r="L105" s="13" t="n"/>
      <c r="N105" s="14" t="n"/>
      <c r="P105" s="11" t="n"/>
      <c r="Q105" s="15">
        <f>IF($J105="","",IF(COUNTIF($J$2:$J$2000,$J105)&gt;1,"DUP-HASH",IF(COUNTIFS($B$2:$B$2000,$B105,$D$2:$D$2000,$D105,$C$2:$C$2000,$C105)&gt;1,"DUP-MATCH","")))</f>
        <v/>
      </c>
    </row>
    <row r="106">
      <c r="B106" s="11" t="n"/>
      <c r="D106" s="12" t="n"/>
      <c r="F106" s="13" t="n"/>
      <c r="L106" s="13" t="n"/>
      <c r="N106" s="14" t="n"/>
      <c r="P106" s="11" t="n"/>
      <c r="Q106" s="15">
        <f>IF($J106="","",IF(COUNTIF($J$2:$J$2000,$J106)&gt;1,"DUP-HASH",IF(COUNTIFS($B$2:$B$2000,$B106,$D$2:$D$2000,$D106,$C$2:$C$2000,$C106)&gt;1,"DUP-MATCH","")))</f>
        <v/>
      </c>
    </row>
    <row r="107">
      <c r="B107" s="11" t="n"/>
      <c r="D107" s="12" t="n"/>
      <c r="F107" s="13" t="n"/>
      <c r="L107" s="13" t="n"/>
      <c r="N107" s="14" t="n"/>
      <c r="P107" s="11" t="n"/>
      <c r="Q107" s="15">
        <f>IF($J107="","",IF(COUNTIF($J$2:$J$2000,$J107)&gt;1,"DUP-HASH",IF(COUNTIFS($B$2:$B$2000,$B107,$D$2:$D$2000,$D107,$C$2:$C$2000,$C107)&gt;1,"DUP-MATCH","")))</f>
        <v/>
      </c>
    </row>
    <row r="108">
      <c r="B108" s="11" t="n"/>
      <c r="D108" s="12" t="n"/>
      <c r="F108" s="13" t="n"/>
      <c r="L108" s="13" t="n"/>
      <c r="N108" s="14" t="n"/>
      <c r="P108" s="11" t="n"/>
      <c r="Q108" s="15">
        <f>IF($J108="","",IF(COUNTIF($J$2:$J$2000,$J108)&gt;1,"DUP-HASH",IF(COUNTIFS($B$2:$B$2000,$B108,$D$2:$D$2000,$D108,$C$2:$C$2000,$C108)&gt;1,"DUP-MATCH","")))</f>
        <v/>
      </c>
    </row>
    <row r="109">
      <c r="B109" s="11" t="n"/>
      <c r="D109" s="12" t="n"/>
      <c r="F109" s="13" t="n"/>
      <c r="L109" s="13" t="n"/>
      <c r="N109" s="14" t="n"/>
      <c r="P109" s="11" t="n"/>
      <c r="Q109" s="15">
        <f>IF($J109="","",IF(COUNTIF($J$2:$J$2000,$J109)&gt;1,"DUP-HASH",IF(COUNTIFS($B$2:$B$2000,$B109,$D$2:$D$2000,$D109,$C$2:$C$2000,$C109)&gt;1,"DUP-MATCH","")))</f>
        <v/>
      </c>
    </row>
    <row r="110">
      <c r="B110" s="11" t="n"/>
      <c r="D110" s="12" t="n"/>
      <c r="F110" s="13" t="n"/>
      <c r="L110" s="13" t="n"/>
      <c r="N110" s="14" t="n"/>
      <c r="P110" s="11" t="n"/>
      <c r="Q110" s="15">
        <f>IF($J110="","",IF(COUNTIF($J$2:$J$2000,$J110)&gt;1,"DUP-HASH",IF(COUNTIFS($B$2:$B$2000,$B110,$D$2:$D$2000,$D110,$C$2:$C$2000,$C110)&gt;1,"DUP-MATCH","")))</f>
        <v/>
      </c>
    </row>
    <row r="111">
      <c r="B111" s="11" t="n"/>
      <c r="D111" s="12" t="n"/>
      <c r="F111" s="13" t="n"/>
      <c r="L111" s="13" t="n"/>
      <c r="N111" s="14" t="n"/>
      <c r="P111" s="11" t="n"/>
      <c r="Q111" s="15">
        <f>IF($J111="","",IF(COUNTIF($J$2:$J$2000,$J111)&gt;1,"DUP-HASH",IF(COUNTIFS($B$2:$B$2000,$B111,$D$2:$D$2000,$D111,$C$2:$C$2000,$C111)&gt;1,"DUP-MATCH","")))</f>
        <v/>
      </c>
    </row>
    <row r="112">
      <c r="B112" s="11" t="n"/>
      <c r="D112" s="12" t="n"/>
      <c r="F112" s="13" t="n"/>
      <c r="L112" s="13" t="n"/>
      <c r="N112" s="14" t="n"/>
      <c r="P112" s="11" t="n"/>
      <c r="Q112" s="15">
        <f>IF($J112="","",IF(COUNTIF($J$2:$J$2000,$J112)&gt;1,"DUP-HASH",IF(COUNTIFS($B$2:$B$2000,$B112,$D$2:$D$2000,$D112,$C$2:$C$2000,$C112)&gt;1,"DUP-MATCH","")))</f>
        <v/>
      </c>
    </row>
    <row r="113">
      <c r="B113" s="11" t="n"/>
      <c r="D113" s="12" t="n"/>
      <c r="F113" s="13" t="n"/>
      <c r="L113" s="13" t="n"/>
      <c r="N113" s="14" t="n"/>
      <c r="P113" s="11" t="n"/>
      <c r="Q113" s="15">
        <f>IF($J113="","",IF(COUNTIF($J$2:$J$2000,$J113)&gt;1,"DUP-HASH",IF(COUNTIFS($B$2:$B$2000,$B113,$D$2:$D$2000,$D113,$C$2:$C$2000,$C113)&gt;1,"DUP-MATCH","")))</f>
        <v/>
      </c>
    </row>
    <row r="114">
      <c r="B114" s="11" t="n"/>
      <c r="D114" s="12" t="n"/>
      <c r="F114" s="13" t="n"/>
      <c r="L114" s="13" t="n"/>
      <c r="N114" s="14" t="n"/>
      <c r="P114" s="11" t="n"/>
      <c r="Q114" s="15">
        <f>IF($J114="","",IF(COUNTIF($J$2:$J$2000,$J114)&gt;1,"DUP-HASH",IF(COUNTIFS($B$2:$B$2000,$B114,$D$2:$D$2000,$D114,$C$2:$C$2000,$C114)&gt;1,"DUP-MATCH","")))</f>
        <v/>
      </c>
    </row>
    <row r="115">
      <c r="B115" s="11" t="n"/>
      <c r="D115" s="12" t="n"/>
      <c r="F115" s="13" t="n"/>
      <c r="L115" s="13" t="n"/>
      <c r="N115" s="14" t="n"/>
      <c r="P115" s="11" t="n"/>
      <c r="Q115" s="15">
        <f>IF($J115="","",IF(COUNTIF($J$2:$J$2000,$J115)&gt;1,"DUP-HASH",IF(COUNTIFS($B$2:$B$2000,$B115,$D$2:$D$2000,$D115,$C$2:$C$2000,$C115)&gt;1,"DUP-MATCH","")))</f>
        <v/>
      </c>
    </row>
    <row r="116">
      <c r="B116" s="11" t="n"/>
      <c r="D116" s="12" t="n"/>
      <c r="F116" s="13" t="n"/>
      <c r="L116" s="13" t="n"/>
      <c r="N116" s="14" t="n"/>
      <c r="P116" s="11" t="n"/>
      <c r="Q116" s="15">
        <f>IF($J116="","",IF(COUNTIF($J$2:$J$2000,$J116)&gt;1,"DUP-HASH",IF(COUNTIFS($B$2:$B$2000,$B116,$D$2:$D$2000,$D116,$C$2:$C$2000,$C116)&gt;1,"DUP-MATCH","")))</f>
        <v/>
      </c>
    </row>
    <row r="117">
      <c r="B117" s="11" t="n"/>
      <c r="D117" s="12" t="n"/>
      <c r="F117" s="13" t="n"/>
      <c r="L117" s="13" t="n"/>
      <c r="N117" s="14" t="n"/>
      <c r="P117" s="11" t="n"/>
      <c r="Q117" s="15">
        <f>IF($J117="","",IF(COUNTIF($J$2:$J$2000,$J117)&gt;1,"DUP-HASH",IF(COUNTIFS($B$2:$B$2000,$B117,$D$2:$D$2000,$D117,$C$2:$C$2000,$C117)&gt;1,"DUP-MATCH","")))</f>
        <v/>
      </c>
    </row>
    <row r="118">
      <c r="B118" s="11" t="n"/>
      <c r="D118" s="12" t="n"/>
      <c r="F118" s="13" t="n"/>
      <c r="L118" s="13" t="n"/>
      <c r="N118" s="14" t="n"/>
      <c r="P118" s="11" t="n"/>
      <c r="Q118" s="15">
        <f>IF($J118="","",IF(COUNTIF($J$2:$J$2000,$J118)&gt;1,"DUP-HASH",IF(COUNTIFS($B$2:$B$2000,$B118,$D$2:$D$2000,$D118,$C$2:$C$2000,$C118)&gt;1,"DUP-MATCH","")))</f>
        <v/>
      </c>
    </row>
    <row r="119">
      <c r="B119" s="11" t="n"/>
      <c r="D119" s="12" t="n"/>
      <c r="F119" s="13" t="n"/>
      <c r="L119" s="13" t="n"/>
      <c r="N119" s="14" t="n"/>
      <c r="P119" s="11" t="n"/>
      <c r="Q119" s="15">
        <f>IF($J119="","",IF(COUNTIF($J$2:$J$2000,$J119)&gt;1,"DUP-HASH",IF(COUNTIFS($B$2:$B$2000,$B119,$D$2:$D$2000,$D119,$C$2:$C$2000,$C119)&gt;1,"DUP-MATCH","")))</f>
        <v/>
      </c>
    </row>
    <row r="120">
      <c r="B120" s="11" t="n"/>
      <c r="D120" s="12" t="n"/>
      <c r="F120" s="13" t="n"/>
      <c r="L120" s="13" t="n"/>
      <c r="N120" s="14" t="n"/>
      <c r="P120" s="11" t="n"/>
      <c r="Q120" s="15">
        <f>IF($J120="","",IF(COUNTIF($J$2:$J$2000,$J120)&gt;1,"DUP-HASH",IF(COUNTIFS($B$2:$B$2000,$B120,$D$2:$D$2000,$D120,$C$2:$C$2000,$C120)&gt;1,"DUP-MATCH","")))</f>
        <v/>
      </c>
    </row>
    <row r="121">
      <c r="B121" s="11" t="n"/>
      <c r="D121" s="12" t="n"/>
      <c r="F121" s="13" t="n"/>
      <c r="L121" s="13" t="n"/>
      <c r="N121" s="14" t="n"/>
      <c r="P121" s="11" t="n"/>
      <c r="Q121" s="15">
        <f>IF($J121="","",IF(COUNTIF($J$2:$J$2000,$J121)&gt;1,"DUP-HASH",IF(COUNTIFS($B$2:$B$2000,$B121,$D$2:$D$2000,$D121,$C$2:$C$2000,$C121)&gt;1,"DUP-MATCH","")))</f>
        <v/>
      </c>
    </row>
    <row r="122">
      <c r="B122" s="11" t="n"/>
      <c r="D122" s="12" t="n"/>
      <c r="F122" s="13" t="n"/>
      <c r="L122" s="13" t="n"/>
      <c r="N122" s="14" t="n"/>
      <c r="P122" s="11" t="n"/>
      <c r="Q122" s="15">
        <f>IF($J122="","",IF(COUNTIF($J$2:$J$2000,$J122)&gt;1,"DUP-HASH",IF(COUNTIFS($B$2:$B$2000,$B122,$D$2:$D$2000,$D122,$C$2:$C$2000,$C122)&gt;1,"DUP-MATCH","")))</f>
        <v/>
      </c>
    </row>
    <row r="123">
      <c r="B123" s="11" t="n"/>
      <c r="D123" s="12" t="n"/>
      <c r="F123" s="13" t="n"/>
      <c r="L123" s="13" t="n"/>
      <c r="N123" s="14" t="n"/>
      <c r="P123" s="11" t="n"/>
      <c r="Q123" s="15">
        <f>IF($J123="","",IF(COUNTIF($J$2:$J$2000,$J123)&gt;1,"DUP-HASH",IF(COUNTIFS($B$2:$B$2000,$B123,$D$2:$D$2000,$D123,$C$2:$C$2000,$C123)&gt;1,"DUP-MATCH","")))</f>
        <v/>
      </c>
    </row>
    <row r="124">
      <c r="B124" s="11" t="n"/>
      <c r="D124" s="12" t="n"/>
      <c r="F124" s="13" t="n"/>
      <c r="L124" s="13" t="n"/>
      <c r="N124" s="14" t="n"/>
      <c r="P124" s="11" t="n"/>
      <c r="Q124" s="15">
        <f>IF($J124="","",IF(COUNTIF($J$2:$J$2000,$J124)&gt;1,"DUP-HASH",IF(COUNTIFS($B$2:$B$2000,$B124,$D$2:$D$2000,$D124,$C$2:$C$2000,$C124)&gt;1,"DUP-MATCH","")))</f>
        <v/>
      </c>
    </row>
    <row r="125">
      <c r="B125" s="11" t="n"/>
      <c r="D125" s="12" t="n"/>
      <c r="F125" s="13" t="n"/>
      <c r="L125" s="13" t="n"/>
      <c r="N125" s="14" t="n"/>
      <c r="P125" s="11" t="n"/>
      <c r="Q125" s="15">
        <f>IF($J125="","",IF(COUNTIF($J$2:$J$2000,$J125)&gt;1,"DUP-HASH",IF(COUNTIFS($B$2:$B$2000,$B125,$D$2:$D$2000,$D125,$C$2:$C$2000,$C125)&gt;1,"DUP-MATCH","")))</f>
        <v/>
      </c>
    </row>
    <row r="126">
      <c r="B126" s="11" t="n"/>
      <c r="D126" s="12" t="n"/>
      <c r="F126" s="13" t="n"/>
      <c r="L126" s="13" t="n"/>
      <c r="N126" s="14" t="n"/>
      <c r="P126" s="11" t="n"/>
      <c r="Q126" s="15">
        <f>IF($J126="","",IF(COUNTIF($J$2:$J$2000,$J126)&gt;1,"DUP-HASH",IF(COUNTIFS($B$2:$B$2000,$B126,$D$2:$D$2000,$D126,$C$2:$C$2000,$C126)&gt;1,"DUP-MATCH","")))</f>
        <v/>
      </c>
    </row>
    <row r="127">
      <c r="B127" s="11" t="n"/>
      <c r="D127" s="12" t="n"/>
      <c r="F127" s="13" t="n"/>
      <c r="L127" s="13" t="n"/>
      <c r="N127" s="14" t="n"/>
      <c r="P127" s="11" t="n"/>
      <c r="Q127" s="15">
        <f>IF($J127="","",IF(COUNTIF($J$2:$J$2000,$J127)&gt;1,"DUP-HASH",IF(COUNTIFS($B$2:$B$2000,$B127,$D$2:$D$2000,$D127,$C$2:$C$2000,$C127)&gt;1,"DUP-MATCH","")))</f>
        <v/>
      </c>
    </row>
    <row r="128">
      <c r="B128" s="11" t="n"/>
      <c r="D128" s="12" t="n"/>
      <c r="F128" s="13" t="n"/>
      <c r="L128" s="13" t="n"/>
      <c r="N128" s="14" t="n"/>
      <c r="P128" s="11" t="n"/>
      <c r="Q128" s="15">
        <f>IF($J128="","",IF(COUNTIF($J$2:$J$2000,$J128)&gt;1,"DUP-HASH",IF(COUNTIFS($B$2:$B$2000,$B128,$D$2:$D$2000,$D128,$C$2:$C$2000,$C128)&gt;1,"DUP-MATCH","")))</f>
        <v/>
      </c>
    </row>
    <row r="129">
      <c r="B129" s="11" t="n"/>
      <c r="D129" s="12" t="n"/>
      <c r="F129" s="13" t="n"/>
      <c r="L129" s="13" t="n"/>
      <c r="N129" s="14" t="n"/>
      <c r="P129" s="11" t="n"/>
      <c r="Q129" s="15">
        <f>IF($J129="","",IF(COUNTIF($J$2:$J$2000,$J129)&gt;1,"DUP-HASH",IF(COUNTIFS($B$2:$B$2000,$B129,$D$2:$D$2000,$D129,$C$2:$C$2000,$C129)&gt;1,"DUP-MATCH","")))</f>
        <v/>
      </c>
    </row>
    <row r="130">
      <c r="B130" s="11" t="n"/>
      <c r="D130" s="12" t="n"/>
      <c r="F130" s="13" t="n"/>
      <c r="L130" s="13" t="n"/>
      <c r="N130" s="14" t="n"/>
      <c r="P130" s="11" t="n"/>
      <c r="Q130" s="15">
        <f>IF($J130="","",IF(COUNTIF($J$2:$J$2000,$J130)&gt;1,"DUP-HASH",IF(COUNTIFS($B$2:$B$2000,$B130,$D$2:$D$2000,$D130,$C$2:$C$2000,$C130)&gt;1,"DUP-MATCH","")))</f>
        <v/>
      </c>
    </row>
    <row r="131">
      <c r="B131" s="11" t="n"/>
      <c r="D131" s="12" t="n"/>
      <c r="F131" s="13" t="n"/>
      <c r="L131" s="13" t="n"/>
      <c r="N131" s="14" t="n"/>
      <c r="P131" s="11" t="n"/>
      <c r="Q131" s="15">
        <f>IF($J131="","",IF(COUNTIF($J$2:$J$2000,$J131)&gt;1,"DUP-HASH",IF(COUNTIFS($B$2:$B$2000,$B131,$D$2:$D$2000,$D131,$C$2:$C$2000,$C131)&gt;1,"DUP-MATCH","")))</f>
        <v/>
      </c>
    </row>
    <row r="132">
      <c r="B132" s="11" t="n"/>
      <c r="D132" s="12" t="n"/>
      <c r="F132" s="13" t="n"/>
      <c r="L132" s="13" t="n"/>
      <c r="N132" s="14" t="n"/>
      <c r="P132" s="11" t="n"/>
      <c r="Q132" s="15">
        <f>IF($J132="","",IF(COUNTIF($J$2:$J$2000,$J132)&gt;1,"DUP-HASH",IF(COUNTIFS($B$2:$B$2000,$B132,$D$2:$D$2000,$D132,$C$2:$C$2000,$C132)&gt;1,"DUP-MATCH","")))</f>
        <v/>
      </c>
    </row>
    <row r="133">
      <c r="B133" s="11" t="n"/>
      <c r="D133" s="12" t="n"/>
      <c r="F133" s="13" t="n"/>
      <c r="L133" s="13" t="n"/>
      <c r="N133" s="14" t="n"/>
      <c r="P133" s="11" t="n"/>
      <c r="Q133" s="15">
        <f>IF($J133="","",IF(COUNTIF($J$2:$J$2000,$J133)&gt;1,"DUP-HASH",IF(COUNTIFS($B$2:$B$2000,$B133,$D$2:$D$2000,$D133,$C$2:$C$2000,$C133)&gt;1,"DUP-MATCH","")))</f>
        <v/>
      </c>
    </row>
    <row r="134">
      <c r="B134" s="11" t="n"/>
      <c r="D134" s="12" t="n"/>
      <c r="F134" s="13" t="n"/>
      <c r="L134" s="13" t="n"/>
      <c r="N134" s="14" t="n"/>
      <c r="P134" s="11" t="n"/>
      <c r="Q134" s="15">
        <f>IF($J134="","",IF(COUNTIF($J$2:$J$2000,$J134)&gt;1,"DUP-HASH",IF(COUNTIFS($B$2:$B$2000,$B134,$D$2:$D$2000,$D134,$C$2:$C$2000,$C134)&gt;1,"DUP-MATCH","")))</f>
        <v/>
      </c>
    </row>
    <row r="135">
      <c r="B135" s="11" t="n"/>
      <c r="D135" s="12" t="n"/>
      <c r="F135" s="13" t="n"/>
      <c r="L135" s="13" t="n"/>
      <c r="N135" s="14" t="n"/>
      <c r="P135" s="11" t="n"/>
      <c r="Q135" s="15">
        <f>IF($J135="","",IF(COUNTIF($J$2:$J$2000,$J135)&gt;1,"DUP-HASH",IF(COUNTIFS($B$2:$B$2000,$B135,$D$2:$D$2000,$D135,$C$2:$C$2000,$C135)&gt;1,"DUP-MATCH","")))</f>
        <v/>
      </c>
    </row>
    <row r="136">
      <c r="B136" s="11" t="n"/>
      <c r="D136" s="12" t="n"/>
      <c r="F136" s="13" t="n"/>
      <c r="L136" s="13" t="n"/>
      <c r="N136" s="14" t="n"/>
      <c r="P136" s="11" t="n"/>
      <c r="Q136" s="15">
        <f>IF($J136="","",IF(COUNTIF($J$2:$J$2000,$J136)&gt;1,"DUP-HASH",IF(COUNTIFS($B$2:$B$2000,$B136,$D$2:$D$2000,$D136,$C$2:$C$2000,$C136)&gt;1,"DUP-MATCH","")))</f>
        <v/>
      </c>
    </row>
    <row r="137">
      <c r="B137" s="11" t="n"/>
      <c r="D137" s="12" t="n"/>
      <c r="F137" s="13" t="n"/>
      <c r="L137" s="13" t="n"/>
      <c r="N137" s="14" t="n"/>
      <c r="P137" s="11" t="n"/>
      <c r="Q137" s="15">
        <f>IF($J137="","",IF(COUNTIF($J$2:$J$2000,$J137)&gt;1,"DUP-HASH",IF(COUNTIFS($B$2:$B$2000,$B137,$D$2:$D$2000,$D137,$C$2:$C$2000,$C137)&gt;1,"DUP-MATCH","")))</f>
        <v/>
      </c>
    </row>
    <row r="138">
      <c r="B138" s="11" t="n"/>
      <c r="D138" s="12" t="n"/>
      <c r="F138" s="13" t="n"/>
      <c r="L138" s="13" t="n"/>
      <c r="N138" s="14" t="n"/>
      <c r="P138" s="11" t="n"/>
      <c r="Q138" s="15">
        <f>IF($J138="","",IF(COUNTIF($J$2:$J$2000,$J138)&gt;1,"DUP-HASH",IF(COUNTIFS($B$2:$B$2000,$B138,$D$2:$D$2000,$D138,$C$2:$C$2000,$C138)&gt;1,"DUP-MATCH","")))</f>
        <v/>
      </c>
    </row>
    <row r="139">
      <c r="B139" s="11" t="n"/>
      <c r="D139" s="12" t="n"/>
      <c r="F139" s="13" t="n"/>
      <c r="L139" s="13" t="n"/>
      <c r="N139" s="14" t="n"/>
      <c r="P139" s="11" t="n"/>
      <c r="Q139" s="15">
        <f>IF($J139="","",IF(COUNTIF($J$2:$J$2000,$J139)&gt;1,"DUP-HASH",IF(COUNTIFS($B$2:$B$2000,$B139,$D$2:$D$2000,$D139,$C$2:$C$2000,$C139)&gt;1,"DUP-MATCH","")))</f>
        <v/>
      </c>
    </row>
    <row r="140">
      <c r="B140" s="11" t="n"/>
      <c r="D140" s="12" t="n"/>
      <c r="F140" s="13" t="n"/>
      <c r="L140" s="13" t="n"/>
      <c r="N140" s="14" t="n"/>
      <c r="P140" s="11" t="n"/>
      <c r="Q140" s="15">
        <f>IF($J140="","",IF(COUNTIF($J$2:$J$2000,$J140)&gt;1,"DUP-HASH",IF(COUNTIFS($B$2:$B$2000,$B140,$D$2:$D$2000,$D140,$C$2:$C$2000,$C140)&gt;1,"DUP-MATCH","")))</f>
        <v/>
      </c>
    </row>
    <row r="141">
      <c r="B141" s="11" t="n"/>
      <c r="D141" s="12" t="n"/>
      <c r="F141" s="13" t="n"/>
      <c r="L141" s="13" t="n"/>
      <c r="N141" s="14" t="n"/>
      <c r="P141" s="11" t="n"/>
      <c r="Q141" s="15">
        <f>IF($J141="","",IF(COUNTIF($J$2:$J$2000,$J141)&gt;1,"DUP-HASH",IF(COUNTIFS($B$2:$B$2000,$B141,$D$2:$D$2000,$D141,$C$2:$C$2000,$C141)&gt;1,"DUP-MATCH","")))</f>
        <v/>
      </c>
    </row>
    <row r="142">
      <c r="B142" s="11" t="n"/>
      <c r="D142" s="12" t="n"/>
      <c r="F142" s="13" t="n"/>
      <c r="L142" s="13" t="n"/>
      <c r="N142" s="14" t="n"/>
      <c r="P142" s="11" t="n"/>
      <c r="Q142" s="15">
        <f>IF($J142="","",IF(COUNTIF($J$2:$J$2000,$J142)&gt;1,"DUP-HASH",IF(COUNTIFS($B$2:$B$2000,$B142,$D$2:$D$2000,$D142,$C$2:$C$2000,$C142)&gt;1,"DUP-MATCH","")))</f>
        <v/>
      </c>
    </row>
    <row r="143">
      <c r="B143" s="11" t="n"/>
      <c r="D143" s="12" t="n"/>
      <c r="F143" s="13" t="n"/>
      <c r="L143" s="13" t="n"/>
      <c r="N143" s="14" t="n"/>
      <c r="P143" s="11" t="n"/>
      <c r="Q143" s="15">
        <f>IF($J143="","",IF(COUNTIF($J$2:$J$2000,$J143)&gt;1,"DUP-HASH",IF(COUNTIFS($B$2:$B$2000,$B143,$D$2:$D$2000,$D143,$C$2:$C$2000,$C143)&gt;1,"DUP-MATCH","")))</f>
        <v/>
      </c>
    </row>
    <row r="144">
      <c r="B144" s="11" t="n"/>
      <c r="D144" s="12" t="n"/>
      <c r="F144" s="13" t="n"/>
      <c r="L144" s="13" t="n"/>
      <c r="N144" s="14" t="n"/>
      <c r="P144" s="11" t="n"/>
      <c r="Q144" s="15">
        <f>IF($J144="","",IF(COUNTIF($J$2:$J$2000,$J144)&gt;1,"DUP-HASH",IF(COUNTIFS($B$2:$B$2000,$B144,$D$2:$D$2000,$D144,$C$2:$C$2000,$C144)&gt;1,"DUP-MATCH","")))</f>
        <v/>
      </c>
    </row>
    <row r="145">
      <c r="B145" s="11" t="n"/>
      <c r="D145" s="12" t="n"/>
      <c r="F145" s="13" t="n"/>
      <c r="L145" s="13" t="n"/>
      <c r="N145" s="14" t="n"/>
      <c r="P145" s="11" t="n"/>
      <c r="Q145" s="15">
        <f>IF($J145="","",IF(COUNTIF($J$2:$J$2000,$J145)&gt;1,"DUP-HASH",IF(COUNTIFS($B$2:$B$2000,$B145,$D$2:$D$2000,$D145,$C$2:$C$2000,$C145)&gt;1,"DUP-MATCH","")))</f>
        <v/>
      </c>
    </row>
    <row r="146">
      <c r="B146" s="11" t="n"/>
      <c r="D146" s="12" t="n"/>
      <c r="F146" s="13" t="n"/>
      <c r="L146" s="13" t="n"/>
      <c r="N146" s="14" t="n"/>
      <c r="P146" s="11" t="n"/>
      <c r="Q146" s="15">
        <f>IF($J146="","",IF(COUNTIF($J$2:$J$2000,$J146)&gt;1,"DUP-HASH",IF(COUNTIFS($B$2:$B$2000,$B146,$D$2:$D$2000,$D146,$C$2:$C$2000,$C146)&gt;1,"DUP-MATCH","")))</f>
        <v/>
      </c>
    </row>
    <row r="147">
      <c r="B147" s="11" t="n"/>
      <c r="D147" s="12" t="n"/>
      <c r="F147" s="13" t="n"/>
      <c r="L147" s="13" t="n"/>
      <c r="N147" s="14" t="n"/>
      <c r="P147" s="11" t="n"/>
      <c r="Q147" s="15">
        <f>IF($J147="","",IF(COUNTIF($J$2:$J$2000,$J147)&gt;1,"DUP-HASH",IF(COUNTIFS($B$2:$B$2000,$B147,$D$2:$D$2000,$D147,$C$2:$C$2000,$C147)&gt;1,"DUP-MATCH","")))</f>
        <v/>
      </c>
    </row>
    <row r="148">
      <c r="B148" s="11" t="n"/>
      <c r="D148" s="12" t="n"/>
      <c r="F148" s="13" t="n"/>
      <c r="L148" s="13" t="n"/>
      <c r="N148" s="14" t="n"/>
      <c r="P148" s="11" t="n"/>
      <c r="Q148" s="15">
        <f>IF($J148="","",IF(COUNTIF($J$2:$J$2000,$J148)&gt;1,"DUP-HASH",IF(COUNTIFS($B$2:$B$2000,$B148,$D$2:$D$2000,$D148,$C$2:$C$2000,$C148)&gt;1,"DUP-MATCH","")))</f>
        <v/>
      </c>
    </row>
    <row r="149">
      <c r="B149" s="11" t="n"/>
      <c r="D149" s="12" t="n"/>
      <c r="F149" s="13" t="n"/>
      <c r="L149" s="13" t="n"/>
      <c r="N149" s="14" t="n"/>
      <c r="P149" s="11" t="n"/>
      <c r="Q149" s="15">
        <f>IF($J149="","",IF(COUNTIF($J$2:$J$2000,$J149)&gt;1,"DUP-HASH",IF(COUNTIFS($B$2:$B$2000,$B149,$D$2:$D$2000,$D149,$C$2:$C$2000,$C149)&gt;1,"DUP-MATCH","")))</f>
        <v/>
      </c>
    </row>
    <row r="150">
      <c r="B150" s="11" t="n"/>
      <c r="D150" s="12" t="n"/>
      <c r="F150" s="13" t="n"/>
      <c r="L150" s="13" t="n"/>
      <c r="N150" s="14" t="n"/>
      <c r="P150" s="11" t="n"/>
      <c r="Q150" s="15">
        <f>IF($J150="","",IF(COUNTIF($J$2:$J$2000,$J150)&gt;1,"DUP-HASH",IF(COUNTIFS($B$2:$B$2000,$B150,$D$2:$D$2000,$D150,$C$2:$C$2000,$C150)&gt;1,"DUP-MATCH","")))</f>
        <v/>
      </c>
    </row>
    <row r="151">
      <c r="B151" s="11" t="n"/>
      <c r="D151" s="12" t="n"/>
      <c r="F151" s="13" t="n"/>
      <c r="L151" s="13" t="n"/>
      <c r="N151" s="14" t="n"/>
      <c r="P151" s="11" t="n"/>
      <c r="Q151" s="15">
        <f>IF($J151="","",IF(COUNTIF($J$2:$J$2000,$J151)&gt;1,"DUP-HASH",IF(COUNTIFS($B$2:$B$2000,$B151,$D$2:$D$2000,$D151,$C$2:$C$2000,$C151)&gt;1,"DUP-MATCH","")))</f>
        <v/>
      </c>
    </row>
    <row r="152">
      <c r="B152" s="11" t="n"/>
      <c r="D152" s="12" t="n"/>
      <c r="F152" s="13" t="n"/>
      <c r="L152" s="13" t="n"/>
      <c r="N152" s="14" t="n"/>
      <c r="P152" s="11" t="n"/>
      <c r="Q152" s="15">
        <f>IF($J152="","",IF(COUNTIF($J$2:$J$2000,$J152)&gt;1,"DUP-HASH",IF(COUNTIFS($B$2:$B$2000,$B152,$D$2:$D$2000,$D152,$C$2:$C$2000,$C152)&gt;1,"DUP-MATCH","")))</f>
        <v/>
      </c>
    </row>
    <row r="153">
      <c r="B153" s="11" t="n"/>
      <c r="D153" s="12" t="n"/>
      <c r="F153" s="13" t="n"/>
      <c r="L153" s="13" t="n"/>
      <c r="N153" s="14" t="n"/>
      <c r="P153" s="11" t="n"/>
      <c r="Q153" s="15">
        <f>IF($J153="","",IF(COUNTIF($J$2:$J$2000,$J153)&gt;1,"DUP-HASH",IF(COUNTIFS($B$2:$B$2000,$B153,$D$2:$D$2000,$D153,$C$2:$C$2000,$C153)&gt;1,"DUP-MATCH","")))</f>
        <v/>
      </c>
    </row>
    <row r="154">
      <c r="B154" s="11" t="n"/>
      <c r="D154" s="12" t="n"/>
      <c r="F154" s="13" t="n"/>
      <c r="L154" s="13" t="n"/>
      <c r="N154" s="14" t="n"/>
      <c r="P154" s="11" t="n"/>
      <c r="Q154" s="15">
        <f>IF($J154="","",IF(COUNTIF($J$2:$J$2000,$J154)&gt;1,"DUP-HASH",IF(COUNTIFS($B$2:$B$2000,$B154,$D$2:$D$2000,$D154,$C$2:$C$2000,$C154)&gt;1,"DUP-MATCH","")))</f>
        <v/>
      </c>
    </row>
    <row r="155">
      <c r="B155" s="11" t="n"/>
      <c r="D155" s="12" t="n"/>
      <c r="F155" s="13" t="n"/>
      <c r="L155" s="13" t="n"/>
      <c r="N155" s="14" t="n"/>
      <c r="P155" s="11" t="n"/>
      <c r="Q155" s="15">
        <f>IF($J155="","",IF(COUNTIF($J$2:$J$2000,$J155)&gt;1,"DUP-HASH",IF(COUNTIFS($B$2:$B$2000,$B155,$D$2:$D$2000,$D155,$C$2:$C$2000,$C155)&gt;1,"DUP-MATCH","")))</f>
        <v/>
      </c>
    </row>
    <row r="156">
      <c r="B156" s="11" t="n"/>
      <c r="D156" s="12" t="n"/>
      <c r="F156" s="13" t="n"/>
      <c r="L156" s="13" t="n"/>
      <c r="N156" s="14" t="n"/>
      <c r="P156" s="11" t="n"/>
      <c r="Q156" s="15">
        <f>IF($J156="","",IF(COUNTIF($J$2:$J$2000,$J156)&gt;1,"DUP-HASH",IF(COUNTIFS($B$2:$B$2000,$B156,$D$2:$D$2000,$D156,$C$2:$C$2000,$C156)&gt;1,"DUP-MATCH","")))</f>
        <v/>
      </c>
    </row>
    <row r="157">
      <c r="B157" s="11" t="n"/>
      <c r="D157" s="12" t="n"/>
      <c r="F157" s="13" t="n"/>
      <c r="L157" s="13" t="n"/>
      <c r="N157" s="14" t="n"/>
      <c r="P157" s="11" t="n"/>
      <c r="Q157" s="15">
        <f>IF($J157="","",IF(COUNTIF($J$2:$J$2000,$J157)&gt;1,"DUP-HASH",IF(COUNTIFS($B$2:$B$2000,$B157,$D$2:$D$2000,$D157,$C$2:$C$2000,$C157)&gt;1,"DUP-MATCH","")))</f>
        <v/>
      </c>
    </row>
    <row r="158">
      <c r="B158" s="11" t="n"/>
      <c r="D158" s="12" t="n"/>
      <c r="F158" s="13" t="n"/>
      <c r="L158" s="13" t="n"/>
      <c r="N158" s="14" t="n"/>
      <c r="P158" s="11" t="n"/>
      <c r="Q158" s="15">
        <f>IF($J158="","",IF(COUNTIF($J$2:$J$2000,$J158)&gt;1,"DUP-HASH",IF(COUNTIFS($B$2:$B$2000,$B158,$D$2:$D$2000,$D158,$C$2:$C$2000,$C158)&gt;1,"DUP-MATCH","")))</f>
        <v/>
      </c>
    </row>
    <row r="159">
      <c r="B159" s="11" t="n"/>
      <c r="D159" s="12" t="n"/>
      <c r="F159" s="13" t="n"/>
      <c r="L159" s="13" t="n"/>
      <c r="N159" s="14" t="n"/>
      <c r="P159" s="11" t="n"/>
      <c r="Q159" s="15">
        <f>IF($J159="","",IF(COUNTIF($J$2:$J$2000,$J159)&gt;1,"DUP-HASH",IF(COUNTIFS($B$2:$B$2000,$B159,$D$2:$D$2000,$D159,$C$2:$C$2000,$C159)&gt;1,"DUP-MATCH","")))</f>
        <v/>
      </c>
    </row>
    <row r="160">
      <c r="B160" s="11" t="n"/>
      <c r="D160" s="12" t="n"/>
      <c r="F160" s="13" t="n"/>
      <c r="L160" s="13" t="n"/>
      <c r="N160" s="14" t="n"/>
      <c r="P160" s="11" t="n"/>
      <c r="Q160" s="15">
        <f>IF($J160="","",IF(COUNTIF($J$2:$J$2000,$J160)&gt;1,"DUP-HASH",IF(COUNTIFS($B$2:$B$2000,$B160,$D$2:$D$2000,$D160,$C$2:$C$2000,$C160)&gt;1,"DUP-MATCH","")))</f>
        <v/>
      </c>
    </row>
    <row r="161">
      <c r="B161" s="11" t="n"/>
      <c r="D161" s="12" t="n"/>
      <c r="F161" s="13" t="n"/>
      <c r="L161" s="13" t="n"/>
      <c r="N161" s="14" t="n"/>
      <c r="P161" s="11" t="n"/>
      <c r="Q161" s="15">
        <f>IF($J161="","",IF(COUNTIF($J$2:$J$2000,$J161)&gt;1,"DUP-HASH",IF(COUNTIFS($B$2:$B$2000,$B161,$D$2:$D$2000,$D161,$C$2:$C$2000,$C161)&gt;1,"DUP-MATCH","")))</f>
        <v/>
      </c>
    </row>
    <row r="162">
      <c r="B162" s="11" t="n"/>
      <c r="D162" s="12" t="n"/>
      <c r="F162" s="13" t="n"/>
      <c r="L162" s="13" t="n"/>
      <c r="N162" s="14" t="n"/>
      <c r="P162" s="11" t="n"/>
      <c r="Q162" s="15">
        <f>IF($J162="","",IF(COUNTIF($J$2:$J$2000,$J162)&gt;1,"DUP-HASH",IF(COUNTIFS($B$2:$B$2000,$B162,$D$2:$D$2000,$D162,$C$2:$C$2000,$C162)&gt;1,"DUP-MATCH","")))</f>
        <v/>
      </c>
    </row>
    <row r="163">
      <c r="B163" s="11" t="n"/>
      <c r="D163" s="12" t="n"/>
      <c r="F163" s="13" t="n"/>
      <c r="L163" s="13" t="n"/>
      <c r="N163" s="14" t="n"/>
      <c r="P163" s="11" t="n"/>
      <c r="Q163" s="15">
        <f>IF($J163="","",IF(COUNTIF($J$2:$J$2000,$J163)&gt;1,"DUP-HASH",IF(COUNTIFS($B$2:$B$2000,$B163,$D$2:$D$2000,$D163,$C$2:$C$2000,$C163)&gt;1,"DUP-MATCH","")))</f>
        <v/>
      </c>
    </row>
    <row r="164">
      <c r="B164" s="11" t="n"/>
      <c r="D164" s="12" t="n"/>
      <c r="F164" s="13" t="n"/>
      <c r="L164" s="13" t="n"/>
      <c r="N164" s="14" t="n"/>
      <c r="P164" s="11" t="n"/>
      <c r="Q164" s="15">
        <f>IF($J164="","",IF(COUNTIF($J$2:$J$2000,$J164)&gt;1,"DUP-HASH",IF(COUNTIFS($B$2:$B$2000,$B164,$D$2:$D$2000,$D164,$C$2:$C$2000,$C164)&gt;1,"DUP-MATCH","")))</f>
        <v/>
      </c>
    </row>
    <row r="165">
      <c r="B165" s="11" t="n"/>
      <c r="D165" s="12" t="n"/>
      <c r="F165" s="13" t="n"/>
      <c r="L165" s="13" t="n"/>
      <c r="N165" s="14" t="n"/>
      <c r="P165" s="11" t="n"/>
      <c r="Q165" s="15">
        <f>IF($J165="","",IF(COUNTIF($J$2:$J$2000,$J165)&gt;1,"DUP-HASH",IF(COUNTIFS($B$2:$B$2000,$B165,$D$2:$D$2000,$D165,$C$2:$C$2000,$C165)&gt;1,"DUP-MATCH","")))</f>
        <v/>
      </c>
    </row>
    <row r="166">
      <c r="B166" s="11" t="n"/>
      <c r="D166" s="12" t="n"/>
      <c r="F166" s="13" t="n"/>
      <c r="L166" s="13" t="n"/>
      <c r="N166" s="14" t="n"/>
      <c r="P166" s="11" t="n"/>
      <c r="Q166" s="15">
        <f>IF($J166="","",IF(COUNTIF($J$2:$J$2000,$J166)&gt;1,"DUP-HASH",IF(COUNTIFS($B$2:$B$2000,$B166,$D$2:$D$2000,$D166,$C$2:$C$2000,$C166)&gt;1,"DUP-MATCH","")))</f>
        <v/>
      </c>
    </row>
    <row r="167">
      <c r="B167" s="11" t="n"/>
      <c r="D167" s="12" t="n"/>
      <c r="F167" s="13" t="n"/>
      <c r="L167" s="13" t="n"/>
      <c r="N167" s="14" t="n"/>
      <c r="P167" s="11" t="n"/>
      <c r="Q167" s="15">
        <f>IF($J167="","",IF(COUNTIF($J$2:$J$2000,$J167)&gt;1,"DUP-HASH",IF(COUNTIFS($B$2:$B$2000,$B167,$D$2:$D$2000,$D167,$C$2:$C$2000,$C167)&gt;1,"DUP-MATCH","")))</f>
        <v/>
      </c>
    </row>
    <row r="168">
      <c r="B168" s="11" t="n"/>
      <c r="D168" s="12" t="n"/>
      <c r="F168" s="13" t="n"/>
      <c r="L168" s="13" t="n"/>
      <c r="N168" s="14" t="n"/>
      <c r="P168" s="11" t="n"/>
      <c r="Q168" s="15">
        <f>IF($J168="","",IF(COUNTIF($J$2:$J$2000,$J168)&gt;1,"DUP-HASH",IF(COUNTIFS($B$2:$B$2000,$B168,$D$2:$D$2000,$D168,$C$2:$C$2000,$C168)&gt;1,"DUP-MATCH","")))</f>
        <v/>
      </c>
    </row>
    <row r="169">
      <c r="B169" s="11" t="n"/>
      <c r="D169" s="12" t="n"/>
      <c r="F169" s="13" t="n"/>
      <c r="L169" s="13" t="n"/>
      <c r="N169" s="14" t="n"/>
      <c r="P169" s="11" t="n"/>
      <c r="Q169" s="15">
        <f>IF($J169="","",IF(COUNTIF($J$2:$J$2000,$J169)&gt;1,"DUP-HASH",IF(COUNTIFS($B$2:$B$2000,$B169,$D$2:$D$2000,$D169,$C$2:$C$2000,$C169)&gt;1,"DUP-MATCH","")))</f>
        <v/>
      </c>
    </row>
    <row r="170">
      <c r="B170" s="11" t="n"/>
      <c r="D170" s="12" t="n"/>
      <c r="F170" s="13" t="n"/>
      <c r="L170" s="13" t="n"/>
      <c r="N170" s="14" t="n"/>
      <c r="P170" s="11" t="n"/>
      <c r="Q170" s="15">
        <f>IF($J170="","",IF(COUNTIF($J$2:$J$2000,$J170)&gt;1,"DUP-HASH",IF(COUNTIFS($B$2:$B$2000,$B170,$D$2:$D$2000,$D170,$C$2:$C$2000,$C170)&gt;1,"DUP-MATCH","")))</f>
        <v/>
      </c>
    </row>
    <row r="171">
      <c r="B171" s="11" t="n"/>
      <c r="D171" s="12" t="n"/>
      <c r="F171" s="13" t="n"/>
      <c r="L171" s="13" t="n"/>
      <c r="N171" s="14" t="n"/>
      <c r="P171" s="11" t="n"/>
      <c r="Q171" s="15">
        <f>IF($J171="","",IF(COUNTIF($J$2:$J$2000,$J171)&gt;1,"DUP-HASH",IF(COUNTIFS($B$2:$B$2000,$B171,$D$2:$D$2000,$D171,$C$2:$C$2000,$C171)&gt;1,"DUP-MATCH","")))</f>
        <v/>
      </c>
    </row>
    <row r="172">
      <c r="B172" s="11" t="n"/>
      <c r="D172" s="12" t="n"/>
      <c r="F172" s="13" t="n"/>
      <c r="L172" s="13" t="n"/>
      <c r="N172" s="14" t="n"/>
      <c r="P172" s="11" t="n"/>
      <c r="Q172" s="15">
        <f>IF($J172="","",IF(COUNTIF($J$2:$J$2000,$J172)&gt;1,"DUP-HASH",IF(COUNTIFS($B$2:$B$2000,$B172,$D$2:$D$2000,$D172,$C$2:$C$2000,$C172)&gt;1,"DUP-MATCH","")))</f>
        <v/>
      </c>
    </row>
    <row r="173">
      <c r="B173" s="11" t="n"/>
      <c r="D173" s="12" t="n"/>
      <c r="F173" s="13" t="n"/>
      <c r="L173" s="13" t="n"/>
      <c r="N173" s="14" t="n"/>
      <c r="P173" s="11" t="n"/>
      <c r="Q173" s="15">
        <f>IF($J173="","",IF(COUNTIF($J$2:$J$2000,$J173)&gt;1,"DUP-HASH",IF(COUNTIFS($B$2:$B$2000,$B173,$D$2:$D$2000,$D173,$C$2:$C$2000,$C173)&gt;1,"DUP-MATCH","")))</f>
        <v/>
      </c>
    </row>
    <row r="174">
      <c r="B174" s="11" t="n"/>
      <c r="D174" s="12" t="n"/>
      <c r="F174" s="13" t="n"/>
      <c r="L174" s="13" t="n"/>
      <c r="N174" s="14" t="n"/>
      <c r="P174" s="11" t="n"/>
      <c r="Q174" s="15">
        <f>IF($J174="","",IF(COUNTIF($J$2:$J$2000,$J174)&gt;1,"DUP-HASH",IF(COUNTIFS($B$2:$B$2000,$B174,$D$2:$D$2000,$D174,$C$2:$C$2000,$C174)&gt;1,"DUP-MATCH","")))</f>
        <v/>
      </c>
    </row>
    <row r="175">
      <c r="B175" s="11" t="n"/>
      <c r="D175" s="12" t="n"/>
      <c r="F175" s="13" t="n"/>
      <c r="L175" s="13" t="n"/>
      <c r="N175" s="14" t="n"/>
      <c r="P175" s="11" t="n"/>
      <c r="Q175" s="15">
        <f>IF($J175="","",IF(COUNTIF($J$2:$J$2000,$J175)&gt;1,"DUP-HASH",IF(COUNTIFS($B$2:$B$2000,$B175,$D$2:$D$2000,$D175,$C$2:$C$2000,$C175)&gt;1,"DUP-MATCH","")))</f>
        <v/>
      </c>
    </row>
    <row r="176">
      <c r="B176" s="11" t="n"/>
      <c r="D176" s="12" t="n"/>
      <c r="F176" s="13" t="n"/>
      <c r="L176" s="13" t="n"/>
      <c r="N176" s="14" t="n"/>
      <c r="P176" s="11" t="n"/>
      <c r="Q176" s="15">
        <f>IF($J176="","",IF(COUNTIF($J$2:$J$2000,$J176)&gt;1,"DUP-HASH",IF(COUNTIFS($B$2:$B$2000,$B176,$D$2:$D$2000,$D176,$C$2:$C$2000,$C176)&gt;1,"DUP-MATCH","")))</f>
        <v/>
      </c>
    </row>
    <row r="177">
      <c r="B177" s="11" t="n"/>
      <c r="D177" s="12" t="n"/>
      <c r="F177" s="13" t="n"/>
      <c r="L177" s="13" t="n"/>
      <c r="N177" s="14" t="n"/>
      <c r="P177" s="11" t="n"/>
      <c r="Q177" s="15">
        <f>IF($J177="","",IF(COUNTIF($J$2:$J$2000,$J177)&gt;1,"DUP-HASH",IF(COUNTIFS($B$2:$B$2000,$B177,$D$2:$D$2000,$D177,$C$2:$C$2000,$C177)&gt;1,"DUP-MATCH","")))</f>
        <v/>
      </c>
    </row>
    <row r="178">
      <c r="B178" s="11" t="n"/>
      <c r="D178" s="12" t="n"/>
      <c r="F178" s="13" t="n"/>
      <c r="L178" s="13" t="n"/>
      <c r="N178" s="14" t="n"/>
      <c r="P178" s="11" t="n"/>
      <c r="Q178" s="15">
        <f>IF($J178="","",IF(COUNTIF($J$2:$J$2000,$J178)&gt;1,"DUP-HASH",IF(COUNTIFS($B$2:$B$2000,$B178,$D$2:$D$2000,$D178,$C$2:$C$2000,$C178)&gt;1,"DUP-MATCH","")))</f>
        <v/>
      </c>
    </row>
    <row r="179">
      <c r="B179" s="11" t="n"/>
      <c r="D179" s="12" t="n"/>
      <c r="F179" s="13" t="n"/>
      <c r="L179" s="13" t="n"/>
      <c r="N179" s="14" t="n"/>
      <c r="P179" s="11" t="n"/>
      <c r="Q179" s="15">
        <f>IF($J179="","",IF(COUNTIF($J$2:$J$2000,$J179)&gt;1,"DUP-HASH",IF(COUNTIFS($B$2:$B$2000,$B179,$D$2:$D$2000,$D179,$C$2:$C$2000,$C179)&gt;1,"DUP-MATCH","")))</f>
        <v/>
      </c>
    </row>
    <row r="180">
      <c r="B180" s="11" t="n"/>
      <c r="D180" s="12" t="n"/>
      <c r="F180" s="13" t="n"/>
      <c r="L180" s="13" t="n"/>
      <c r="N180" s="14" t="n"/>
      <c r="P180" s="11" t="n"/>
      <c r="Q180" s="15">
        <f>IF($J180="","",IF(COUNTIF($J$2:$J$2000,$J180)&gt;1,"DUP-HASH",IF(COUNTIFS($B$2:$B$2000,$B180,$D$2:$D$2000,$D180,$C$2:$C$2000,$C180)&gt;1,"DUP-MATCH","")))</f>
        <v/>
      </c>
    </row>
    <row r="181">
      <c r="B181" s="11" t="n"/>
      <c r="D181" s="12" t="n"/>
      <c r="F181" s="13" t="n"/>
      <c r="L181" s="13" t="n"/>
      <c r="N181" s="14" t="n"/>
      <c r="P181" s="11" t="n"/>
      <c r="Q181" s="15">
        <f>IF($J181="","",IF(COUNTIF($J$2:$J$2000,$J181)&gt;1,"DUP-HASH",IF(COUNTIFS($B$2:$B$2000,$B181,$D$2:$D$2000,$D181,$C$2:$C$2000,$C181)&gt;1,"DUP-MATCH","")))</f>
        <v/>
      </c>
    </row>
    <row r="182">
      <c r="B182" s="11" t="n"/>
      <c r="D182" s="12" t="n"/>
      <c r="F182" s="13" t="n"/>
      <c r="L182" s="13" t="n"/>
      <c r="N182" s="14" t="n"/>
      <c r="P182" s="11" t="n"/>
      <c r="Q182" s="15">
        <f>IF($J182="","",IF(COUNTIF($J$2:$J$2000,$J182)&gt;1,"DUP-HASH",IF(COUNTIFS($B$2:$B$2000,$B182,$D$2:$D$2000,$D182,$C$2:$C$2000,$C182)&gt;1,"DUP-MATCH","")))</f>
        <v/>
      </c>
    </row>
    <row r="183">
      <c r="B183" s="11" t="n"/>
      <c r="D183" s="12" t="n"/>
      <c r="F183" s="13" t="n"/>
      <c r="L183" s="13" t="n"/>
      <c r="N183" s="14" t="n"/>
      <c r="P183" s="11" t="n"/>
      <c r="Q183" s="15">
        <f>IF($J183="","",IF(COUNTIF($J$2:$J$2000,$J183)&gt;1,"DUP-HASH",IF(COUNTIFS($B$2:$B$2000,$B183,$D$2:$D$2000,$D183,$C$2:$C$2000,$C183)&gt;1,"DUP-MATCH","")))</f>
        <v/>
      </c>
    </row>
    <row r="184">
      <c r="B184" s="11" t="n"/>
      <c r="D184" s="12" t="n"/>
      <c r="F184" s="13" t="n"/>
      <c r="L184" s="13" t="n"/>
      <c r="N184" s="14" t="n"/>
      <c r="P184" s="11" t="n"/>
      <c r="Q184" s="15">
        <f>IF($J184="","",IF(COUNTIF($J$2:$J$2000,$J184)&gt;1,"DUP-HASH",IF(COUNTIFS($B$2:$B$2000,$B184,$D$2:$D$2000,$D184,$C$2:$C$2000,$C184)&gt;1,"DUP-MATCH","")))</f>
        <v/>
      </c>
    </row>
    <row r="185">
      <c r="B185" s="11" t="n"/>
      <c r="D185" s="12" t="n"/>
      <c r="F185" s="13" t="n"/>
      <c r="L185" s="13" t="n"/>
      <c r="N185" s="14" t="n"/>
      <c r="P185" s="11" t="n"/>
      <c r="Q185" s="15">
        <f>IF($J185="","",IF(COUNTIF($J$2:$J$2000,$J185)&gt;1,"DUP-HASH",IF(COUNTIFS($B$2:$B$2000,$B185,$D$2:$D$2000,$D185,$C$2:$C$2000,$C185)&gt;1,"DUP-MATCH","")))</f>
        <v/>
      </c>
    </row>
    <row r="186">
      <c r="B186" s="11" t="n"/>
      <c r="D186" s="12" t="n"/>
      <c r="F186" s="13" t="n"/>
      <c r="L186" s="13" t="n"/>
      <c r="N186" s="14" t="n"/>
      <c r="P186" s="11" t="n"/>
      <c r="Q186" s="15">
        <f>IF($J186="","",IF(COUNTIF($J$2:$J$2000,$J186)&gt;1,"DUP-HASH",IF(COUNTIFS($B$2:$B$2000,$B186,$D$2:$D$2000,$D186,$C$2:$C$2000,$C186)&gt;1,"DUP-MATCH","")))</f>
        <v/>
      </c>
    </row>
    <row r="187">
      <c r="B187" s="11" t="n"/>
      <c r="D187" s="12" t="n"/>
      <c r="F187" s="13" t="n"/>
      <c r="L187" s="13" t="n"/>
      <c r="N187" s="14" t="n"/>
      <c r="P187" s="11" t="n"/>
      <c r="Q187" s="15">
        <f>IF($J187="","",IF(COUNTIF($J$2:$J$2000,$J187)&gt;1,"DUP-HASH",IF(COUNTIFS($B$2:$B$2000,$B187,$D$2:$D$2000,$D187,$C$2:$C$2000,$C187)&gt;1,"DUP-MATCH","")))</f>
        <v/>
      </c>
    </row>
    <row r="188">
      <c r="B188" s="11" t="n"/>
      <c r="D188" s="12" t="n"/>
      <c r="F188" s="13" t="n"/>
      <c r="L188" s="13" t="n"/>
      <c r="N188" s="14" t="n"/>
      <c r="P188" s="11" t="n"/>
      <c r="Q188" s="15">
        <f>IF($J188="","",IF(COUNTIF($J$2:$J$2000,$J188)&gt;1,"DUP-HASH",IF(COUNTIFS($B$2:$B$2000,$B188,$D$2:$D$2000,$D188,$C$2:$C$2000,$C188)&gt;1,"DUP-MATCH","")))</f>
        <v/>
      </c>
    </row>
    <row r="189">
      <c r="B189" s="11" t="n"/>
      <c r="D189" s="12" t="n"/>
      <c r="F189" s="13" t="n"/>
      <c r="L189" s="13" t="n"/>
      <c r="N189" s="14" t="n"/>
      <c r="P189" s="11" t="n"/>
      <c r="Q189" s="15">
        <f>IF($J189="","",IF(COUNTIF($J$2:$J$2000,$J189)&gt;1,"DUP-HASH",IF(COUNTIFS($B$2:$B$2000,$B189,$D$2:$D$2000,$D189,$C$2:$C$2000,$C189)&gt;1,"DUP-MATCH","")))</f>
        <v/>
      </c>
    </row>
    <row r="190">
      <c r="B190" s="11" t="n"/>
      <c r="D190" s="12" t="n"/>
      <c r="F190" s="13" t="n"/>
      <c r="L190" s="13" t="n"/>
      <c r="N190" s="14" t="n"/>
      <c r="P190" s="11" t="n"/>
      <c r="Q190" s="15">
        <f>IF($J190="","",IF(COUNTIF($J$2:$J$2000,$J190)&gt;1,"DUP-HASH",IF(COUNTIFS($B$2:$B$2000,$B190,$D$2:$D$2000,$D190,$C$2:$C$2000,$C190)&gt;1,"DUP-MATCH","")))</f>
        <v/>
      </c>
    </row>
    <row r="191">
      <c r="B191" s="11" t="n"/>
      <c r="D191" s="12" t="n"/>
      <c r="F191" s="13" t="n"/>
      <c r="L191" s="13" t="n"/>
      <c r="N191" s="14" t="n"/>
      <c r="P191" s="11" t="n"/>
      <c r="Q191" s="15">
        <f>IF($J191="","",IF(COUNTIF($J$2:$J$2000,$J191)&gt;1,"DUP-HASH",IF(COUNTIFS($B$2:$B$2000,$B191,$D$2:$D$2000,$D191,$C$2:$C$2000,$C191)&gt;1,"DUP-MATCH","")))</f>
        <v/>
      </c>
    </row>
    <row r="192">
      <c r="B192" s="11" t="n"/>
      <c r="D192" s="12" t="n"/>
      <c r="F192" s="13" t="n"/>
      <c r="L192" s="13" t="n"/>
      <c r="N192" s="14" t="n"/>
      <c r="P192" s="11" t="n"/>
      <c r="Q192" s="15">
        <f>IF($J192="","",IF(COUNTIF($J$2:$J$2000,$J192)&gt;1,"DUP-HASH",IF(COUNTIFS($B$2:$B$2000,$B192,$D$2:$D$2000,$D192,$C$2:$C$2000,$C192)&gt;1,"DUP-MATCH","")))</f>
        <v/>
      </c>
    </row>
    <row r="193">
      <c r="B193" s="11" t="n"/>
      <c r="D193" s="12" t="n"/>
      <c r="F193" s="13" t="n"/>
      <c r="L193" s="13" t="n"/>
      <c r="N193" s="14" t="n"/>
      <c r="P193" s="11" t="n"/>
      <c r="Q193" s="15">
        <f>IF($J193="","",IF(COUNTIF($J$2:$J$2000,$J193)&gt;1,"DUP-HASH",IF(COUNTIFS($B$2:$B$2000,$B193,$D$2:$D$2000,$D193,$C$2:$C$2000,$C193)&gt;1,"DUP-MATCH","")))</f>
        <v/>
      </c>
    </row>
    <row r="194">
      <c r="B194" s="11" t="n"/>
      <c r="D194" s="12" t="n"/>
      <c r="F194" s="13" t="n"/>
      <c r="L194" s="13" t="n"/>
      <c r="N194" s="14" t="n"/>
      <c r="P194" s="11" t="n"/>
      <c r="Q194" s="15">
        <f>IF($J194="","",IF(COUNTIF($J$2:$J$2000,$J194)&gt;1,"DUP-HASH",IF(COUNTIFS($B$2:$B$2000,$B194,$D$2:$D$2000,$D194,$C$2:$C$2000,$C194)&gt;1,"DUP-MATCH","")))</f>
        <v/>
      </c>
    </row>
    <row r="195">
      <c r="B195" s="11" t="n"/>
      <c r="D195" s="12" t="n"/>
      <c r="F195" s="13" t="n"/>
      <c r="L195" s="13" t="n"/>
      <c r="N195" s="14" t="n"/>
      <c r="P195" s="11" t="n"/>
      <c r="Q195" s="15">
        <f>IF($J195="","",IF(COUNTIF($J$2:$J$2000,$J195)&gt;1,"DUP-HASH",IF(COUNTIFS($B$2:$B$2000,$B195,$D$2:$D$2000,$D195,$C$2:$C$2000,$C195)&gt;1,"DUP-MATCH","")))</f>
        <v/>
      </c>
    </row>
    <row r="196">
      <c r="B196" s="11" t="n"/>
      <c r="D196" s="12" t="n"/>
      <c r="F196" s="13" t="n"/>
      <c r="L196" s="13" t="n"/>
      <c r="N196" s="14" t="n"/>
      <c r="P196" s="11" t="n"/>
      <c r="Q196" s="15">
        <f>IF($J196="","",IF(COUNTIF($J$2:$J$2000,$J196)&gt;1,"DUP-HASH",IF(COUNTIFS($B$2:$B$2000,$B196,$D$2:$D$2000,$D196,$C$2:$C$2000,$C196)&gt;1,"DUP-MATCH","")))</f>
        <v/>
      </c>
    </row>
    <row r="197">
      <c r="B197" s="11" t="n"/>
      <c r="D197" s="12" t="n"/>
      <c r="F197" s="13" t="n"/>
      <c r="L197" s="13" t="n"/>
      <c r="N197" s="14" t="n"/>
      <c r="P197" s="11" t="n"/>
      <c r="Q197" s="15">
        <f>IF($J197="","",IF(COUNTIF($J$2:$J$2000,$J197)&gt;1,"DUP-HASH",IF(COUNTIFS($B$2:$B$2000,$B197,$D$2:$D$2000,$D197,$C$2:$C$2000,$C197)&gt;1,"DUP-MATCH","")))</f>
        <v/>
      </c>
    </row>
    <row r="198">
      <c r="B198" s="11" t="n"/>
      <c r="D198" s="12" t="n"/>
      <c r="F198" s="13" t="n"/>
      <c r="L198" s="13" t="n"/>
      <c r="N198" s="14" t="n"/>
      <c r="P198" s="11" t="n"/>
      <c r="Q198" s="15">
        <f>IF($J198="","",IF(COUNTIF($J$2:$J$2000,$J198)&gt;1,"DUP-HASH",IF(COUNTIFS($B$2:$B$2000,$B198,$D$2:$D$2000,$D198,$C$2:$C$2000,$C198)&gt;1,"DUP-MATCH","")))</f>
        <v/>
      </c>
    </row>
    <row r="199">
      <c r="B199" s="11" t="n"/>
      <c r="D199" s="12" t="n"/>
      <c r="F199" s="13" t="n"/>
      <c r="L199" s="13" t="n"/>
      <c r="N199" s="14" t="n"/>
      <c r="P199" s="11" t="n"/>
      <c r="Q199" s="15">
        <f>IF($J199="","",IF(COUNTIF($J$2:$J$2000,$J199)&gt;1,"DUP-HASH",IF(COUNTIFS($B$2:$B$2000,$B199,$D$2:$D$2000,$D199,$C$2:$C$2000,$C199)&gt;1,"DUP-MATCH","")))</f>
        <v/>
      </c>
    </row>
    <row r="200">
      <c r="B200" s="11" t="n"/>
      <c r="D200" s="12" t="n"/>
      <c r="F200" s="13" t="n"/>
      <c r="L200" s="13" t="n"/>
      <c r="N200" s="14" t="n"/>
      <c r="P200" s="11" t="n"/>
      <c r="Q200" s="15">
        <f>IF($J200="","",IF(COUNTIF($J$2:$J$2000,$J200)&gt;1,"DUP-HASH",IF(COUNTIFS($B$2:$B$2000,$B200,$D$2:$D$2000,$D200,$C$2:$C$2000,$C200)&gt;1,"DUP-MATCH","")))</f>
        <v/>
      </c>
    </row>
    <row r="201">
      <c r="B201" s="11" t="n"/>
      <c r="D201" s="12" t="n"/>
      <c r="F201" s="13" t="n"/>
      <c r="L201" s="13" t="n"/>
      <c r="N201" s="14" t="n"/>
      <c r="P201" s="11" t="n"/>
      <c r="Q201" s="15">
        <f>IF($J201="","",IF(COUNTIF($J$2:$J$2000,$J201)&gt;1,"DUP-HASH",IF(COUNTIFS($B$2:$B$2000,$B201,$D$2:$D$2000,$D201,$C$2:$C$2000,$C201)&gt;1,"DUP-MATCH","")))</f>
        <v/>
      </c>
    </row>
  </sheetData>
  <dataValidations count="2">
    <dataValidation sqref="L2:L2000" showDropDown="0" showInputMessage="0" showErrorMessage="0" allowBlank="1" type="list">
      <formula1>"Needs Review,Approved,Posted-QBO,Rejected"</formula1>
    </dataValidation>
    <dataValidation sqref="E2:E2000" showDropDown="0" showInputMessage="0" showErrorMessage="0" allowBlank="1" type="list">
      <formula1>"Expense,Deposit,Transfer"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40" customWidth="1" min="4" max="4"/>
  </cols>
  <sheetData>
    <row r="1">
      <c r="A1" s="16" t="inlineStr">
        <is>
          <t>Vendor / Payee -&gt; QuickBooks account mapping</t>
        </is>
      </c>
    </row>
    <row r="2">
      <c r="A2" s="17" t="inlineStr">
        <is>
          <t>The agent checks this tab first. If a payee is here, it auto-fills the Account. If not, the row is forced to Needs Review.</t>
        </is>
      </c>
    </row>
    <row r="4">
      <c r="A4" s="18" t="inlineStr">
        <is>
          <t>Payee/Vendor</t>
        </is>
      </c>
      <c r="B4" s="18" t="inlineStr">
        <is>
          <t>QBO Account (Category)</t>
        </is>
      </c>
      <c r="C4" s="18" t="inlineStr">
        <is>
          <t>Default Type</t>
        </is>
      </c>
      <c r="D4" s="18" t="inlineStr">
        <is>
          <t>Notes</t>
        </is>
      </c>
    </row>
    <row r="5">
      <c r="A5" s="19" t="inlineStr">
        <is>
          <t>Office Depot</t>
        </is>
      </c>
      <c r="B5" s="19" t="inlineStr">
        <is>
          <t>Office Supplies</t>
        </is>
      </c>
      <c r="C5" s="19" t="inlineStr">
        <is>
          <t>Expense</t>
        </is>
      </c>
      <c r="D5" s="19" t="inlineStr">
        <is>
          <t>Example mapping — replace with your real vendors</t>
        </is>
      </c>
    </row>
    <row r="6">
      <c r="A6" s="20" t="inlineStr">
        <is>
          <t>Comcast Business</t>
        </is>
      </c>
      <c r="B6" s="20" t="inlineStr">
        <is>
          <t>Utilities</t>
        </is>
      </c>
      <c r="C6" s="20" t="inlineStr">
        <is>
          <t>Expense</t>
        </is>
      </c>
      <c r="D6" s="20" t="inlineStr"/>
    </row>
    <row r="7">
      <c r="A7" s="20" t="inlineStr">
        <is>
          <t>Stripe Payout</t>
        </is>
      </c>
      <c r="B7" s="20" t="inlineStr">
        <is>
          <t>Sales Income</t>
        </is>
      </c>
      <c r="C7" s="20" t="inlineStr">
        <is>
          <t>Deposit</t>
        </is>
      </c>
      <c r="D7" s="20" t="inlineStr">
        <is>
          <t>Incoming revenue</t>
        </is>
      </c>
    </row>
    <row r="8">
      <c r="A8" s="20" t="inlineStr">
        <is>
          <t>ADP</t>
        </is>
      </c>
      <c r="B8" s="20" t="inlineStr">
        <is>
          <t>Payroll Expenses</t>
        </is>
      </c>
      <c r="C8" s="20" t="inlineStr">
        <is>
          <t>Expense</t>
        </is>
      </c>
      <c r="D8" s="20" t="inlineStr"/>
    </row>
    <row r="9">
      <c r="A9" s="20" t="inlineStr">
        <is>
          <t>Shell</t>
        </is>
      </c>
      <c r="B9" s="20" t="inlineStr">
        <is>
          <t>Auto &amp; Fuel</t>
        </is>
      </c>
      <c r="C9" s="20" t="inlineStr">
        <is>
          <t>Expense</t>
        </is>
      </c>
      <c r="D9" s="20" t="inlineStr"/>
    </row>
  </sheetData>
  <dataValidations count="1">
    <dataValidation sqref="C5:C500" showDropDown="0" showInputMessage="0" showErrorMessage="0" allowBlank="1" type="list">
      <formula1>"Expense,Deposit,Transfer"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</cols>
  <sheetData>
    <row r="1">
      <c r="A1" s="16" t="inlineStr">
        <is>
          <t>Reconciliation &amp; Controls</t>
        </is>
      </c>
    </row>
    <row r="2">
      <c r="A2" s="17" t="inlineStr">
        <is>
          <t>Run the three-way tie-out weekly (with each new bank statement). Bank / QuickBooks totals in yellow are pulled by you from those systems.</t>
        </is>
      </c>
    </row>
    <row r="4">
      <c r="A4" s="21" t="inlineStr">
        <is>
          <t>STATUS SUMMARY</t>
        </is>
      </c>
    </row>
    <row r="5">
      <c r="A5" s="22" t="inlineStr">
        <is>
          <t>Needs Review</t>
        </is>
      </c>
      <c r="B5" s="22">
        <f>COUNTIF(Transactions!$L$2:$L$2000,"Needs Review")</f>
        <v/>
      </c>
    </row>
    <row r="6">
      <c r="A6" s="22" t="inlineStr">
        <is>
          <t>Approved (not yet posted)</t>
        </is>
      </c>
      <c r="B6" s="22">
        <f>COUNTIF(Transactions!$L$2:$L$2000,"Approved")</f>
        <v/>
      </c>
    </row>
    <row r="7">
      <c r="A7" s="22" t="inlineStr">
        <is>
          <t>Posted to QuickBooks</t>
        </is>
      </c>
      <c r="B7" s="22">
        <f>COUNTIF(Transactions!$L$2:$L$2000,"Posted-QBO")</f>
        <v/>
      </c>
    </row>
    <row r="8">
      <c r="A8" s="22" t="inlineStr">
        <is>
          <t>Rejected</t>
        </is>
      </c>
      <c r="B8" s="22">
        <f>COUNTIF(Transactions!$L$2:$L$2000,"Rejected")</f>
        <v/>
      </c>
    </row>
    <row r="9">
      <c r="A9" s="22" t="inlineStr">
        <is>
          <t>Duplicate flags to investigate</t>
        </is>
      </c>
      <c r="B9" s="22">
        <f>COUNTIF(Transactions!$Q$2:$Q$2000,"DUP-*")</f>
        <v/>
      </c>
    </row>
    <row r="11">
      <c r="A11" s="21" t="inlineStr">
        <is>
          <t>THREE-WAY TIE-OUT (this period)</t>
        </is>
      </c>
    </row>
    <row r="12">
      <c r="A12" t="inlineStr">
        <is>
          <t>Posted deposits (Sheets)</t>
        </is>
      </c>
      <c r="B12" s="23">
        <f>SUMIFS(Transactions!$D$2:$D$2000,Transactions!$E$2:$E$2000,"Deposit",Transactions!$L$2:$L$2000,"Posted-QBO")</f>
        <v/>
      </c>
    </row>
    <row r="13">
      <c r="A13" t="inlineStr">
        <is>
          <t>Posted expenses (Sheets)</t>
        </is>
      </c>
      <c r="B13" s="23">
        <f>SUMIFS(Transactions!$D$2:$D$2000,Transactions!$E$2:$E$2000,"Expense",Transactions!$L$2:$L$2000,"Posted-QBO")</f>
        <v/>
      </c>
    </row>
    <row r="14">
      <c r="A14" s="21" t="inlineStr">
        <is>
          <t>Net change per Sheets</t>
        </is>
      </c>
      <c r="B14" s="24">
        <f>B12-B13</f>
        <v/>
      </c>
    </row>
    <row r="15">
      <c r="A15" t="inlineStr">
        <is>
          <t>Net change per Bank Statement</t>
        </is>
      </c>
      <c r="B15" s="25" t="n">
        <v>0</v>
      </c>
      <c r="C15" s="17" t="inlineStr">
        <is>
          <t>&lt;- enter from the bank statement</t>
        </is>
      </c>
    </row>
    <row r="16">
      <c r="A16" t="inlineStr">
        <is>
          <t>Net change per QuickBooks report</t>
        </is>
      </c>
      <c r="B16" s="25" t="n">
        <v>0</v>
      </c>
      <c r="C16" s="17" t="inlineStr">
        <is>
          <t>&lt;- enter from a QuickBooks P&amp;L / register</t>
        </is>
      </c>
    </row>
    <row r="18">
      <c r="A18" t="inlineStr">
        <is>
          <t>Variance: Sheets vs Bank</t>
        </is>
      </c>
      <c r="B18" s="23">
        <f>B14-B15</f>
        <v/>
      </c>
    </row>
    <row r="19">
      <c r="A19" t="inlineStr">
        <is>
          <t>Variance: QuickBooks vs Sheets</t>
        </is>
      </c>
      <c r="B19" s="23">
        <f>B16-B14</f>
        <v/>
      </c>
    </row>
    <row r="20">
      <c r="A20" s="21" t="inlineStr">
        <is>
          <t>Result</t>
        </is>
      </c>
      <c r="B20" s="26">
        <f>IF(AND(ABS(B18)&lt;0.005,ABS(B19)&lt;0.005),"TIE - books match","INVESTIGATE - see variances")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2026-07-21T19:07:08Z</dcterms:created>
  <dcterms:modified xsi:type="dcterms:W3CDTF">2026-07-21T19:07:08Z</dcterms:modified>
</cp:coreProperties>
</file>